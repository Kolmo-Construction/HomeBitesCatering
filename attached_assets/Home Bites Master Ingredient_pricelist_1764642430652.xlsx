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<sst xmlns="http://schemas.openxmlformats.org/spreadsheetml/2006/main" count="1382" uniqueCount="409">
  <si>
    <t>name</t>
  </si>
  <si>
    <t>Category</t>
  </si>
  <si>
    <t>Purchase Price</t>
  </si>
  <si>
    <t>Pack Size</t>
  </si>
  <si>
    <t>Purchase Unit</t>
  </si>
  <si>
    <t>Purchase Quantity</t>
  </si>
  <si>
    <t>price per</t>
  </si>
  <si>
    <t>Supplier</t>
  </si>
  <si>
    <t>SKU</t>
  </si>
  <si>
    <t>Trim loss</t>
  </si>
  <si>
    <t>Actual Price -usable product</t>
  </si>
  <si>
    <t>Beef – ground  81/19, Fine Grind</t>
  </si>
  <si>
    <t>Meat &amp; Poultry</t>
  </si>
  <si>
    <t>Weight</t>
  </si>
  <si>
    <t>pound</t>
  </si>
  <si>
    <t>Restaurant Depot</t>
  </si>
  <si>
    <t>Beef – brisket USDA Select</t>
  </si>
  <si>
    <t>Beef Chuck Roll, USDA Choice</t>
  </si>
  <si>
    <t>Beef – bone‑in ribs</t>
  </si>
  <si>
    <t>Beef – Beef Chuck Tail Short Rib</t>
  </si>
  <si>
    <t>Beef –Tenderloin</t>
  </si>
  <si>
    <t>Beef – Terres Major</t>
  </si>
  <si>
    <t>Beef – ribeye steak-boneless</t>
  </si>
  <si>
    <t>Beef – eye round</t>
  </si>
  <si>
    <t>Frozen Beef Foreshank, Cut (osso bucco)</t>
  </si>
  <si>
    <t>Beef – Inside Top Round</t>
  </si>
  <si>
    <t>Beef-Corned Beef Brisket raw</t>
  </si>
  <si>
    <t>US Foods</t>
  </si>
  <si>
    <t>Beef- Inside Skirt</t>
  </si>
  <si>
    <t>Beef – flank steak</t>
  </si>
  <si>
    <t xml:space="preserve">Pork Picnic Shoulder </t>
  </si>
  <si>
    <t>Pork – belly</t>
  </si>
  <si>
    <t>Pork - Baby Back Ribs</t>
  </si>
  <si>
    <t>Pork- Shank</t>
  </si>
  <si>
    <t>Boneless Pork Loins, Center Cut</t>
  </si>
  <si>
    <t>Fresh Bone-In Pork Butt</t>
  </si>
  <si>
    <t>Pork Tenderloin</t>
  </si>
  <si>
    <t>PRIME BONE-IN LOIN RACK</t>
  </si>
  <si>
    <t>Pork Bacon- Applewood</t>
  </si>
  <si>
    <t>Pork – pulled pork</t>
  </si>
  <si>
    <t>Base Recipe</t>
  </si>
  <si>
    <t>Base Item</t>
  </si>
  <si>
    <t>COLD CUT Pork – spam</t>
  </si>
  <si>
    <t>Case</t>
  </si>
  <si>
    <t>ounce</t>
  </si>
  <si>
    <t>COLD CUT – Genoa salami</t>
  </si>
  <si>
    <t>COLD CUT – prosciutto</t>
  </si>
  <si>
    <t>COLD CUT  – sopressata</t>
  </si>
  <si>
    <t>COLD CUT  – Roast Beef</t>
  </si>
  <si>
    <t>COLD CUT  – Sliced Hot Capicolo</t>
  </si>
  <si>
    <t>COLD CUT  – Smoked Pit Ham</t>
  </si>
  <si>
    <t>COLD CUT  – bologna</t>
  </si>
  <si>
    <t>COLD CUT  – Roasted Turkey</t>
  </si>
  <si>
    <t>COLD CUT – pepperoni</t>
  </si>
  <si>
    <t>Chicken – breast - skinless-boneless</t>
  </si>
  <si>
    <t>Chicken – thighs-skinless</t>
  </si>
  <si>
    <t>Chicken – drums</t>
  </si>
  <si>
    <t>Chicken – wings- party</t>
  </si>
  <si>
    <t>Chicken – Whole</t>
  </si>
  <si>
    <t>Chicken – pâté</t>
  </si>
  <si>
    <t>Gyro Chicken Slices</t>
  </si>
  <si>
    <t>Gyro Lamb and Beef - hand sliced</t>
  </si>
  <si>
    <t>Chicken – leg quarters</t>
  </si>
  <si>
    <t>Lamb –Leg boneless</t>
  </si>
  <si>
    <t>Lamb Shank</t>
  </si>
  <si>
    <t xml:space="preserve">Lamb – chops - </t>
  </si>
  <si>
    <t>Veal – scaloppine</t>
  </si>
  <si>
    <t>Fish – cod</t>
  </si>
  <si>
    <t>Seafood</t>
  </si>
  <si>
    <t>Fish – Tuna</t>
  </si>
  <si>
    <t>Fish – swordfish- frozen</t>
  </si>
  <si>
    <t>Fish – Branzino -whole</t>
  </si>
  <si>
    <t>Salmon – Chum- Frozen China</t>
  </si>
  <si>
    <t>Salmon – Atlantic fillet</t>
  </si>
  <si>
    <t>Salmon -  Sockeye Fillet</t>
  </si>
  <si>
    <t>Salmon – gravlax</t>
  </si>
  <si>
    <t>Shellfish –   P&amp;D Tail Off 90-130</t>
  </si>
  <si>
    <t>Shellfish – shrimp small 21/25</t>
  </si>
  <si>
    <t>Shellfish – shrimp medium - 16/20</t>
  </si>
  <si>
    <t>Shellfish – shrimp large EZ Peel, IQF - 13/15-</t>
  </si>
  <si>
    <t>Frozen Black Tiger Shrimp - Headless, Shell-on - 16-20</t>
  </si>
  <si>
    <t>Shellfish Oysters Kumamoto</t>
  </si>
  <si>
    <t>each</t>
  </si>
  <si>
    <t>E-Fish</t>
  </si>
  <si>
    <t>Shellfish - Lobster meat&amp; Fish</t>
  </si>
  <si>
    <t>Shellfish – lobster tail 4oz</t>
  </si>
  <si>
    <t>Octopus – Spanish octopus</t>
  </si>
  <si>
    <t>e-fish</t>
  </si>
  <si>
    <t>Gigante Beans</t>
  </si>
  <si>
    <t>Grains &amp; Pasta</t>
  </si>
  <si>
    <t>kilogram</t>
  </si>
  <si>
    <t>Giannis Foods</t>
  </si>
  <si>
    <t>Tofu – extra‑firm</t>
  </si>
  <si>
    <t>Dairy &amp; Eggs</t>
  </si>
  <si>
    <t>Legumes – chickpeas</t>
  </si>
  <si>
    <t>Canned</t>
  </si>
  <si>
    <t>Legumes – lentils -brown</t>
  </si>
  <si>
    <t>Legumes – lentils Green</t>
  </si>
  <si>
    <t>Legumes – black beans</t>
  </si>
  <si>
    <t>Each</t>
  </si>
  <si>
    <t>#10 can</t>
  </si>
  <si>
    <t>Legumes – kidney beans</t>
  </si>
  <si>
    <t>Legumes – pinto beans</t>
  </si>
  <si>
    <t>Legumes – garbanzo beans</t>
  </si>
  <si>
    <t>Restaurant Direct</t>
  </si>
  <si>
    <t>Legumes – Great Northern</t>
  </si>
  <si>
    <t>Alabama white BBQ</t>
  </si>
  <si>
    <t>Condiments &amp; Sauces,</t>
  </si>
  <si>
    <t>Volume</t>
  </si>
  <si>
    <t>Gallon</t>
  </si>
  <si>
    <t>White Vinegar (4% acidity)</t>
  </si>
  <si>
    <t xml:space="preserve"> Red Wine Vinegar</t>
  </si>
  <si>
    <t>FOUR MONKS MALT VINEGAR</t>
  </si>
  <si>
    <t>Apple cider vinegar</t>
  </si>
  <si>
    <t>3 Year Balsamic Vinegar</t>
  </si>
  <si>
    <t>liter</t>
  </si>
  <si>
    <t>Chef's Quality - White Wine Vinegar</t>
  </si>
  <si>
    <t>Chef's Quality - Marsala Cooking Wine - gallon</t>
  </si>
  <si>
    <t>Apples</t>
  </si>
  <si>
    <t>Produce</t>
  </si>
  <si>
    <t xml:space="preserve">Whole Pepperoncini </t>
  </si>
  <si>
    <t>Del Sol - Banana Pepper Rings, Mild</t>
  </si>
  <si>
    <t>Fire Roasted Grilled Eggplant Pulp</t>
  </si>
  <si>
    <t>Imported Giardinera</t>
  </si>
  <si>
    <t>Anchovies in Olive Oil</t>
  </si>
  <si>
    <t>Mid East - Grape Leaves</t>
  </si>
  <si>
    <t>Artichoke hearts - Jar</t>
  </si>
  <si>
    <t>Asparagus</t>
  </si>
  <si>
    <t>Avocado</t>
  </si>
  <si>
    <t>Balsamic crema</t>
  </si>
  <si>
    <t>Barley rusks</t>
  </si>
  <si>
    <t>Basil</t>
  </si>
  <si>
    <t>Red Bell peppers</t>
  </si>
  <si>
    <t xml:space="preserve">Fire Roasted Red Pepper Strips </t>
  </si>
  <si>
    <t>Strawberries</t>
  </si>
  <si>
    <t>Black pepper -coarse</t>
  </si>
  <si>
    <t>Baking &amp; Dry Goods</t>
  </si>
  <si>
    <t>Black pepper -fine</t>
  </si>
  <si>
    <t>Blue cheese dressing</t>
  </si>
  <si>
    <t>Peeled Garlic</t>
  </si>
  <si>
    <t>Bow tie pasta</t>
  </si>
  <si>
    <t>Bratwurst</t>
  </si>
  <si>
    <t>Kielbasa</t>
  </si>
  <si>
    <t>Hot Dogs Nathans</t>
  </si>
  <si>
    <t>Bread rolls Hawaian</t>
  </si>
  <si>
    <t>Bread &amp; Pastries</t>
  </si>
  <si>
    <t>Light Brown Sugar -</t>
  </si>
  <si>
    <t>Brussels sprouts</t>
  </si>
  <si>
    <t>Butter</t>
  </si>
  <si>
    <t>Capers</t>
  </si>
  <si>
    <t>Tomato Boullion</t>
  </si>
  <si>
    <t>spices</t>
  </si>
  <si>
    <t>Smokey Bourbon BBQ</t>
  </si>
  <si>
    <t>Very Berry BBQ</t>
  </si>
  <si>
    <t>Cattlemen's - Carolina Tangy Gold Sauce - Gallon</t>
  </si>
  <si>
    <t xml:space="preserve">Memphis Sweet Barbeque Sauce </t>
  </si>
  <si>
    <t>Cattleman's BBQ - Kansas City Classic</t>
  </si>
  <si>
    <t>Carrots - Jumbo</t>
  </si>
  <si>
    <t>Cayenne</t>
  </si>
  <si>
    <t>Celery -bunch</t>
  </si>
  <si>
    <t>Mild Cheddar Cheese Loaf</t>
  </si>
  <si>
    <t>Cherry tomatoes RED</t>
  </si>
  <si>
    <t>Cherry tomatoes multi</t>
  </si>
  <si>
    <t>Embasa - Chipotle Peppers -26 oz Can</t>
  </si>
  <si>
    <t>Light Chili Powder</t>
  </si>
  <si>
    <t>Crushed Red Pepper</t>
  </si>
  <si>
    <t>Chives</t>
  </si>
  <si>
    <t>Premium Soy Sauce</t>
  </si>
  <si>
    <t>French's - Original French Fried Onions</t>
  </si>
  <si>
    <t>Thai Sweet Chili Sauce</t>
  </si>
  <si>
    <t>Pure Sesame Oil</t>
  </si>
  <si>
    <t>Fl oz</t>
  </si>
  <si>
    <t>Chili Garlic Sauce</t>
  </si>
  <si>
    <t>Hoisin Sauce</t>
  </si>
  <si>
    <t>Plum Sauce</t>
  </si>
  <si>
    <t>Sriracha Hot Chili Sauce</t>
  </si>
  <si>
    <t>Chow mein noodles</t>
  </si>
  <si>
    <t>Cilantro</t>
  </si>
  <si>
    <t>Cinnamon stick</t>
  </si>
  <si>
    <t>Cinnamon ground</t>
  </si>
  <si>
    <t>oil - Canola cooking</t>
  </si>
  <si>
    <t xml:space="preserve">Oil - Blended </t>
  </si>
  <si>
    <t>oil Canola fryer</t>
  </si>
  <si>
    <t>Corn on the cob - white</t>
  </si>
  <si>
    <t>Flour Tortillas 5"</t>
  </si>
  <si>
    <t>Corn tortillas</t>
  </si>
  <si>
    <t>Cornbread mix Krusteaz</t>
  </si>
  <si>
    <t>Grated Cotija Cheese</t>
  </si>
  <si>
    <t>Cranberry relish</t>
  </si>
  <si>
    <t>Croutons</t>
  </si>
  <si>
    <t>Cuban dry rub</t>
  </si>
  <si>
    <t>Cucumber - English</t>
  </si>
  <si>
    <t>Cucumbers, Choice</t>
  </si>
  <si>
    <t>Cumin</t>
  </si>
  <si>
    <t>Tajin - Seasoning Mix</t>
  </si>
  <si>
    <t>Onion Powder</t>
  </si>
  <si>
    <t>Fancy Paprika</t>
  </si>
  <si>
    <t>Garlic Powder</t>
  </si>
  <si>
    <t>Roasted Red bell peppers whole</t>
  </si>
  <si>
    <t>Dijon mustard</t>
  </si>
  <si>
    <t>Dill</t>
  </si>
  <si>
    <t>Dried chilies Arbol</t>
  </si>
  <si>
    <t>Edamame</t>
  </si>
  <si>
    <t>Eggplant</t>
  </si>
  <si>
    <t>Chef's Quality - Mayonnaise</t>
  </si>
  <si>
    <t>Elbow pasta large</t>
  </si>
  <si>
    <t>Elbow pasta small</t>
  </si>
  <si>
    <t>Escabeche</t>
  </si>
  <si>
    <t>Fajita seasoning</t>
  </si>
  <si>
    <t>Fennel seed</t>
  </si>
  <si>
    <t>Fennel fresh</t>
  </si>
  <si>
    <t>Safeway</t>
  </si>
  <si>
    <t xml:space="preserve">Marinated Fresh Mozzarella Cheese </t>
  </si>
  <si>
    <t>Mascarpone Cheese</t>
  </si>
  <si>
    <t>Burrata Cheese - 16 oz</t>
  </si>
  <si>
    <t>Shaved Parmesan Cheese</t>
  </si>
  <si>
    <t xml:space="preserve">Grated Parmesan Cheese </t>
  </si>
  <si>
    <t>Feta cheese dodoni Crumbles</t>
  </si>
  <si>
    <t>Ithaki - Feta Cheese Crumbles</t>
  </si>
  <si>
    <t>Ithaki - Domestic Feta Cheese - 28 lb</t>
  </si>
  <si>
    <t>Mont Chevre - Plain Loaf Goat Cheese</t>
  </si>
  <si>
    <t>Shredded Whole Milk Mozzarella Cheese</t>
  </si>
  <si>
    <t>Shredded Cheddar Jack Cheese</t>
  </si>
  <si>
    <t>BelGioioso - Creamy Gorgonzola</t>
  </si>
  <si>
    <t>Smoked Dutch Gouda Cheese</t>
  </si>
  <si>
    <t>Imported Spanish Manchego Cheese</t>
  </si>
  <si>
    <t>Pepper Jack Cheese Loaf</t>
  </si>
  <si>
    <t>Provolone Cheese</t>
  </si>
  <si>
    <t>Queen Stuffed Olives</t>
  </si>
  <si>
    <t>Vello - Large Pitted Kalamata Olives</t>
  </si>
  <si>
    <t>Fresh herbs -cilantro</t>
  </si>
  <si>
    <t>Fresh herbs basil</t>
  </si>
  <si>
    <t>Fresh herbs -rosemary</t>
  </si>
  <si>
    <t>Fresh herbs -tarragon</t>
  </si>
  <si>
    <t>Fresh herbs</t>
  </si>
  <si>
    <t>Garlic</t>
  </si>
  <si>
    <t>Garlic powder</t>
  </si>
  <si>
    <t>Giardiniera</t>
  </si>
  <si>
    <t>Ginger</t>
  </si>
  <si>
    <t>Gorgonzola cheese</t>
  </si>
  <si>
    <t>Greek cheese blend</t>
  </si>
  <si>
    <t>Green beans</t>
  </si>
  <si>
    <t>Green cabbage</t>
  </si>
  <si>
    <t xml:space="preserve">onions Green </t>
  </si>
  <si>
    <t>peppers- Green bell</t>
  </si>
  <si>
    <t>Guinness beer</t>
  </si>
  <si>
    <t xml:space="preserve">peppers Habanero </t>
  </si>
  <si>
    <t>Hard boiled eggs</t>
  </si>
  <si>
    <t>Heavy cream</t>
  </si>
  <si>
    <t>Tomato sauce</t>
  </si>
  <si>
    <t>Honey</t>
  </si>
  <si>
    <t>Hot sauce - Siracha</t>
  </si>
  <si>
    <t xml:space="preserve">lettuce Iceberg </t>
  </si>
  <si>
    <t>Jalapeño cornbread base</t>
  </si>
  <si>
    <t>Jalapeños</t>
  </si>
  <si>
    <t>Kansas City BBQ sauce</t>
  </si>
  <si>
    <t>Ketchup</t>
  </si>
  <si>
    <t>Kimchi</t>
  </si>
  <si>
    <t>Korean BBQ seasoning</t>
  </si>
  <si>
    <t>Lemon juice</t>
  </si>
  <si>
    <t>Lemon zest</t>
  </si>
  <si>
    <t>Lemons</t>
  </si>
  <si>
    <t>Lima beans</t>
  </si>
  <si>
    <t>Lime juice</t>
  </si>
  <si>
    <t>Limes</t>
  </si>
  <si>
    <t>Macaroni</t>
  </si>
  <si>
    <t>Mango</t>
  </si>
  <si>
    <t>Mayo</t>
  </si>
  <si>
    <t>Memphis BBQ</t>
  </si>
  <si>
    <t>Mexican blended cheeses</t>
  </si>
  <si>
    <t>Milk</t>
  </si>
  <si>
    <t>Mixed dried herbs</t>
  </si>
  <si>
    <t>Mixed greens</t>
  </si>
  <si>
    <t>Mixed herbs</t>
  </si>
  <si>
    <t>Molasses</t>
  </si>
  <si>
    <t>Mustard</t>
  </si>
  <si>
    <t>Navy beans</t>
  </si>
  <si>
    <t>New potatoes</t>
  </si>
  <si>
    <t>Olive oil</t>
  </si>
  <si>
    <t>Olives (Kalamata)</t>
  </si>
  <si>
    <t>Onion</t>
  </si>
  <si>
    <t>Onion powder</t>
  </si>
  <si>
    <t>Onions</t>
  </si>
  <si>
    <t>Orange juice</t>
  </si>
  <si>
    <t>Oranges</t>
  </si>
  <si>
    <t>Oregano</t>
  </si>
  <si>
    <t>Orzo</t>
  </si>
  <si>
    <t>Paprika</t>
  </si>
  <si>
    <t>Parmesan flakes</t>
  </si>
  <si>
    <t>Old Bay Seasoning</t>
  </si>
  <si>
    <t>Phyllo dough</t>
  </si>
  <si>
    <t>Pickled cabbage</t>
  </si>
  <si>
    <t>Pineapple</t>
  </si>
  <si>
    <t>Pinto beans</t>
  </si>
  <si>
    <t>Poblano peppers</t>
  </si>
  <si>
    <t>Polish sausage</t>
  </si>
  <si>
    <t>Pork belly seasoning blend</t>
  </si>
  <si>
    <t>Potatoes</t>
  </si>
  <si>
    <t>Queso dip seasoning blend</t>
  </si>
  <si>
    <t>Quinoa</t>
  </si>
  <si>
    <t>Radishes</t>
  </si>
  <si>
    <t>Red cabbage</t>
  </si>
  <si>
    <t>Red onions</t>
  </si>
  <si>
    <t>Relish</t>
  </si>
  <si>
    <t>Rice</t>
  </si>
  <si>
    <t>Rice (long grain)</t>
  </si>
  <si>
    <t>Roasted corn</t>
  </si>
  <si>
    <t>Romaine lettuce</t>
  </si>
  <si>
    <t>Russet potatoes</t>
  </si>
  <si>
    <t>Salt</t>
  </si>
  <si>
    <t>Scallions</t>
  </si>
  <si>
    <t>Seasonal vegetables</t>
  </si>
  <si>
    <t>Serrano peppers</t>
  </si>
  <si>
    <t>Sesame oil</t>
  </si>
  <si>
    <t>Sesame seeds</t>
  </si>
  <si>
    <t>Shredded cheese</t>
  </si>
  <si>
    <t>Shredded vegan cheese</t>
  </si>
  <si>
    <t>Shrimp seasoning blend</t>
  </si>
  <si>
    <t>Slider buns</t>
  </si>
  <si>
    <t>Smoked paprika</t>
  </si>
  <si>
    <t>Smokey bourbon BBQ</t>
  </si>
  <si>
    <t>Sour cream</t>
  </si>
  <si>
    <t>Soy sauce</t>
  </si>
  <si>
    <t>Spicy peppers</t>
  </si>
  <si>
    <t>Spinach</t>
  </si>
  <si>
    <t>Sriracha</t>
  </si>
  <si>
    <t>Stuffing rice</t>
  </si>
  <si>
    <t>Sweet corn</t>
  </si>
  <si>
    <t>Sweet pickle chips</t>
  </si>
  <si>
    <t>Tahini</t>
  </si>
  <si>
    <t>Thyme</t>
  </si>
  <si>
    <t>Tiger prawns</t>
  </si>
  <si>
    <t>Toasted corn</t>
  </si>
  <si>
    <t>Toasted corn tostadas</t>
  </si>
  <si>
    <t>Tomato bouillon</t>
  </si>
  <si>
    <t>Tomato relish</t>
  </si>
  <si>
    <t>Tomatoes</t>
  </si>
  <si>
    <t>Vegetable oil</t>
  </si>
  <si>
    <t>Vegetarian empanada seasoning blend</t>
  </si>
  <si>
    <t>Very-berry BBQ</t>
  </si>
  <si>
    <t>Vinegar</t>
  </si>
  <si>
    <t>Walnuts</t>
  </si>
  <si>
    <t>White corn</t>
  </si>
  <si>
    <t>White wine vinegar</t>
  </si>
  <si>
    <t>Worcestershire sauce</t>
  </si>
  <si>
    <t>Yellow corn</t>
  </si>
  <si>
    <t>Yellow onions</t>
  </si>
  <si>
    <t>Yogurt</t>
  </si>
  <si>
    <t>Yukon gold potatoes</t>
  </si>
  <si>
    <t>Zucchini</t>
  </si>
  <si>
    <t>Prosciutto</t>
  </si>
  <si>
    <t>Halibut</t>
  </si>
  <si>
    <t>Anchovies</t>
  </si>
  <si>
    <t>Pancetta</t>
  </si>
  <si>
    <t>Mushrooms</t>
  </si>
  <si>
    <t>Sun-dried tomatoes</t>
  </si>
  <si>
    <t>Cauliflower</t>
  </si>
  <si>
    <t>Root vegetables</t>
  </si>
  <si>
    <t>Peas</t>
  </si>
  <si>
    <t>Beets</t>
  </si>
  <si>
    <t>Lettuce</t>
  </si>
  <si>
    <t>Sage</t>
  </si>
  <si>
    <t>Almonds</t>
  </si>
  <si>
    <t>Italian breadcrumbs</t>
  </si>
  <si>
    <t>Ricotta</t>
  </si>
  <si>
    <t>Cream</t>
  </si>
  <si>
    <t>Burrata</t>
  </si>
  <si>
    <t>Asiago</t>
  </si>
  <si>
    <t>Bechamel base</t>
  </si>
  <si>
    <t>Lasagna pasta</t>
  </si>
  <si>
    <t>Manicotti shells</t>
  </si>
  <si>
    <t>Risotto rice</t>
  </si>
  <si>
    <t>Caponata</t>
  </si>
  <si>
    <t>Tomato basil sauce</t>
  </si>
  <si>
    <t>White wine</t>
  </si>
  <si>
    <t>Marsala wine</t>
  </si>
  <si>
    <t>Barolo wine</t>
  </si>
  <si>
    <t>Red wine</t>
  </si>
  <si>
    <t>Pesto</t>
  </si>
  <si>
    <t>Crushed red pepper</t>
  </si>
  <si>
    <t>Nutmeg</t>
  </si>
  <si>
    <t>Italian bread</t>
  </si>
  <si>
    <t>Apple</t>
  </si>
  <si>
    <t>Chicken satay</t>
  </si>
  <si>
    <t>Pickled vegetables</t>
  </si>
  <si>
    <t>Olive</t>
  </si>
  <si>
    <t>Gazpacho base</t>
  </si>
  <si>
    <t>Puff pastry</t>
  </si>
  <si>
    <t>Mac n’ cheese base</t>
  </si>
  <si>
    <t>Lumpia wrappers</t>
  </si>
  <si>
    <t>Watermelon radish</t>
  </si>
  <si>
    <t>Gruyere</t>
  </si>
  <si>
    <t>Camembert</t>
  </si>
  <si>
    <t>Miso</t>
  </si>
  <si>
    <t>Maple syrup</t>
  </si>
  <si>
    <t>Asparagus tips</t>
  </si>
  <si>
    <t>Olive tapenade</t>
  </si>
  <si>
    <t>Mint</t>
  </si>
  <si>
    <t>Phyllo cups</t>
  </si>
  <si>
    <t>Fig jam</t>
  </si>
  <si>
    <t>Walnut powder</t>
  </si>
  <si>
    <t>Leek</t>
  </si>
  <si>
    <t>Teriyaki sauce</t>
  </si>
  <si>
    <t>Moroccan seasoning</t>
  </si>
  <si>
    <t>Mediterranean spices</t>
  </si>
  <si>
    <t>Melon</t>
  </si>
  <si>
    <t>Hoisin plum sauce</t>
  </si>
  <si>
    <t>Crostini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</si>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</sst>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rgb="FF000000"/>
      <name val="Ui-sans-serif"/>
    </font>
    <font>
      <b/>
      <sz val="11.0"/>
      <color rgb="FF000000"/>
      <name val="Arial"/>
    </font>
    <font>
      <b/>
      <color rgb="FF000000"/>
      <name val="Calibri"/>
      <scheme val="minor"/>
    </font>
    <font>
      <color theme="1"/>
      <name val="Calibri"/>
      <scheme val="minor"/>
    </font>
    <font>
      <sz val="11.0"/>
      <color rgb="FF72767E"/>
      <name val="FORMATA"/>
    </font>
    <font>
      <sz val="11.0"/>
      <color rgb="FF333333"/>
      <name val="Open-sans"/>
    </font>
    <font>
      <sz val="11.0"/>
      <color rgb="FF72767E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5F5F4"/>
        <bgColor rgb="FFF5F5F4"/>
      </patternFill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1"/>
    </xf>
    <xf borderId="0" fillId="2" fontId="2" numFmtId="0" xfId="0" applyAlignment="1" applyFill="1" applyFont="1">
      <alignment horizontal="left" readingOrder="0" shrinkToFit="0" wrapText="1"/>
    </xf>
    <xf borderId="0" fillId="2" fontId="3" numFmtId="0" xfId="0" applyAlignment="1" applyFont="1">
      <alignment horizontal="left" readingOrder="0" shrinkToFit="0" wrapText="1"/>
    </xf>
    <xf borderId="0" fillId="2" fontId="3" numFmtId="4" xfId="0" applyAlignment="1" applyFont="1" applyNumberFormat="1">
      <alignment horizontal="left" readingOrder="0" shrinkToFit="0" wrapText="1"/>
    </xf>
    <xf borderId="0" fillId="3" fontId="2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10" xfId="0" applyAlignment="1" applyFont="1" applyNumberFormat="1">
      <alignment readingOrder="0" shrinkToFit="0" wrapText="1"/>
    </xf>
    <xf borderId="0" fillId="0" fontId="4" numFmtId="4" xfId="0" applyAlignment="1" applyFont="1" applyNumberFormat="1">
      <alignment readingOrder="0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4" xfId="0" applyAlignment="1" applyFont="1" applyNumberFormat="1">
      <alignment readingOrder="0"/>
    </xf>
    <xf borderId="0" fillId="4" fontId="6" numFmtId="0" xfId="0" applyAlignment="1" applyFill="1" applyFont="1">
      <alignment readingOrder="0"/>
    </xf>
    <xf borderId="0" fillId="0" fontId="5" numFmtId="10" xfId="0" applyAlignment="1" applyFont="1" applyNumberFormat="1">
      <alignment readingOrder="0"/>
    </xf>
    <xf borderId="0" fillId="0" fontId="5" numFmtId="4" xfId="0" applyFont="1" applyNumberFormat="1"/>
    <xf borderId="0" fillId="0" fontId="5" numFmtId="0" xfId="0" applyFont="1"/>
    <xf borderId="0" fillId="0" fontId="5" numFmtId="10" xfId="0" applyFont="1" applyNumberFormat="1"/>
    <xf borderId="0" fillId="4" fontId="7" numFmtId="0" xfId="0" applyAlignment="1" applyFont="1">
      <alignment horizontal="left" readingOrder="0"/>
    </xf>
    <xf borderId="0" fillId="0" fontId="5" numFmtId="0" xfId="0" applyFont="1"/>
    <xf borderId="0" fillId="4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1.86"/>
    <col customWidth="1" min="2" max="2" width="19.0"/>
    <col customWidth="1" min="3" max="4" width="16.29"/>
    <col customWidth="1" min="5" max="5" width="17.29"/>
    <col customWidth="1" min="6" max="6" width="11.29"/>
    <col customWidth="1" min="7" max="7" width="13.14"/>
    <col customWidth="1" min="8" max="8" width="27.0"/>
    <col customWidth="1" min="9" max="9" width="14.29"/>
    <col customWidth="1" min="10" max="10" width="7.0"/>
    <col customWidth="1" min="11" max="11" width="6.29"/>
    <col customWidth="1" min="12" max="12" width="11.43"/>
    <col customWidth="1" min="13" max="30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2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10" t="s">
        <v>11</v>
      </c>
      <c r="B2" s="10" t="s">
        <v>12</v>
      </c>
      <c r="C2" s="10">
        <v>4.07</v>
      </c>
      <c r="D2" s="10" t="s">
        <v>13</v>
      </c>
      <c r="E2" s="10" t="s">
        <v>14</v>
      </c>
      <c r="F2" s="10">
        <v>1.0</v>
      </c>
      <c r="G2" s="11">
        <f t="shared" ref="G2:G107" si="1">C2/F2</f>
        <v>4.07</v>
      </c>
      <c r="H2" s="10" t="s">
        <v>15</v>
      </c>
      <c r="I2" s="12">
        <v>2.077034E10</v>
      </c>
      <c r="J2" s="13">
        <v>0.15</v>
      </c>
      <c r="K2" s="14">
        <f t="shared" ref="K2:K31" si="2"> G2 / (1 - J2)</f>
        <v>4.788235294</v>
      </c>
      <c r="L2" s="10" t="b">
        <v>1</v>
      </c>
    </row>
    <row r="3">
      <c r="A3" s="10" t="s">
        <v>16</v>
      </c>
      <c r="B3" s="10" t="s">
        <v>12</v>
      </c>
      <c r="C3" s="10">
        <v>5.29</v>
      </c>
      <c r="D3" s="10" t="s">
        <v>13</v>
      </c>
      <c r="E3" s="10" t="s">
        <v>14</v>
      </c>
      <c r="F3" s="10">
        <v>1.0</v>
      </c>
      <c r="G3" s="11">
        <f t="shared" si="1"/>
        <v>5.29</v>
      </c>
      <c r="H3" s="10" t="s">
        <v>15</v>
      </c>
      <c r="I3" s="12">
        <v>2.077021E10</v>
      </c>
      <c r="J3" s="13">
        <v>0.45</v>
      </c>
      <c r="K3" s="14">
        <f t="shared" si="2"/>
        <v>9.618181818</v>
      </c>
      <c r="L3" s="10" t="b">
        <v>1</v>
      </c>
    </row>
    <row r="4">
      <c r="A4" s="10" t="s">
        <v>17</v>
      </c>
      <c r="B4" s="10" t="s">
        <v>12</v>
      </c>
      <c r="C4" s="10">
        <v>5.49</v>
      </c>
      <c r="D4" s="10" t="s">
        <v>13</v>
      </c>
      <c r="E4" s="10" t="s">
        <v>14</v>
      </c>
      <c r="F4" s="10">
        <v>1.0</v>
      </c>
      <c r="G4" s="11">
        <f t="shared" si="1"/>
        <v>5.49</v>
      </c>
      <c r="H4" s="10" t="s">
        <v>15</v>
      </c>
      <c r="I4" s="12">
        <v>2.077137E10</v>
      </c>
      <c r="J4" s="13">
        <v>0.3</v>
      </c>
      <c r="K4" s="14">
        <f t="shared" si="2"/>
        <v>7.842857143</v>
      </c>
      <c r="L4" s="10" t="b">
        <v>1</v>
      </c>
    </row>
    <row r="5">
      <c r="A5" s="15" t="s">
        <v>18</v>
      </c>
      <c r="B5" s="10" t="s">
        <v>12</v>
      </c>
      <c r="C5" s="10">
        <v>6.37</v>
      </c>
      <c r="D5" s="10" t="s">
        <v>13</v>
      </c>
      <c r="E5" s="10" t="s">
        <v>14</v>
      </c>
      <c r="F5" s="10">
        <v>1.0</v>
      </c>
      <c r="G5" s="11">
        <f t="shared" si="1"/>
        <v>6.37</v>
      </c>
      <c r="H5" s="10" t="s">
        <v>15</v>
      </c>
      <c r="I5" s="12">
        <v>2.079815E10</v>
      </c>
      <c r="J5" s="13">
        <v>0.4</v>
      </c>
      <c r="K5" s="14">
        <f t="shared" si="2"/>
        <v>10.61666667</v>
      </c>
      <c r="L5" s="10" t="b">
        <v>1</v>
      </c>
    </row>
    <row r="6">
      <c r="A6" s="10" t="s">
        <v>19</v>
      </c>
      <c r="B6" s="10" t="s">
        <v>12</v>
      </c>
      <c r="C6" s="10">
        <v>11.79</v>
      </c>
      <c r="D6" s="10" t="s">
        <v>13</v>
      </c>
      <c r="E6" s="10" t="s">
        <v>14</v>
      </c>
      <c r="F6" s="10">
        <v>1.0</v>
      </c>
      <c r="G6" s="11">
        <f t="shared" si="1"/>
        <v>11.79</v>
      </c>
      <c r="H6" s="10" t="s">
        <v>15</v>
      </c>
      <c r="I6" s="12">
        <v>2.07047E10</v>
      </c>
      <c r="K6" s="14">
        <f t="shared" si="2"/>
        <v>11.79</v>
      </c>
      <c r="L6" s="10" t="b">
        <v>1</v>
      </c>
    </row>
    <row r="7">
      <c r="A7" s="10" t="s">
        <v>20</v>
      </c>
      <c r="B7" s="10" t="s">
        <v>12</v>
      </c>
      <c r="C7" s="10">
        <v>21.24</v>
      </c>
      <c r="D7" s="10" t="s">
        <v>13</v>
      </c>
      <c r="E7" s="10" t="s">
        <v>14</v>
      </c>
      <c r="F7" s="10">
        <v>1.0</v>
      </c>
      <c r="G7" s="11">
        <f t="shared" si="1"/>
        <v>21.24</v>
      </c>
      <c r="H7" s="10" t="s">
        <v>15</v>
      </c>
      <c r="I7" s="12">
        <v>2.079749E10</v>
      </c>
      <c r="J7" s="16"/>
      <c r="K7" s="14">
        <f t="shared" si="2"/>
        <v>21.24</v>
      </c>
      <c r="L7" s="10" t="b">
        <v>1</v>
      </c>
    </row>
    <row r="8">
      <c r="A8" s="10" t="s">
        <v>21</v>
      </c>
      <c r="B8" s="10" t="s">
        <v>12</v>
      </c>
      <c r="C8" s="10">
        <v>12.09</v>
      </c>
      <c r="D8" s="10" t="s">
        <v>13</v>
      </c>
      <c r="E8" s="10" t="s">
        <v>14</v>
      </c>
      <c r="F8" s="10">
        <v>1.0</v>
      </c>
      <c r="G8" s="11">
        <f t="shared" si="1"/>
        <v>12.09</v>
      </c>
      <c r="H8" s="10" t="s">
        <v>15</v>
      </c>
      <c r="I8" s="12">
        <v>2.08018E10</v>
      </c>
      <c r="J8" s="16"/>
      <c r="K8" s="14">
        <f t="shared" si="2"/>
        <v>12.09</v>
      </c>
      <c r="L8" s="10" t="b">
        <v>1</v>
      </c>
    </row>
    <row r="9">
      <c r="A9" s="10" t="s">
        <v>22</v>
      </c>
      <c r="B9" s="10" t="s">
        <v>12</v>
      </c>
      <c r="C9" s="10">
        <v>12.03</v>
      </c>
      <c r="D9" s="10" t="s">
        <v>13</v>
      </c>
      <c r="E9" s="10" t="s">
        <v>14</v>
      </c>
      <c r="F9" s="10">
        <v>1.0</v>
      </c>
      <c r="G9" s="11">
        <f t="shared" si="1"/>
        <v>12.03</v>
      </c>
      <c r="H9" s="10" t="s">
        <v>15</v>
      </c>
      <c r="I9" s="12">
        <v>2.070132E10</v>
      </c>
      <c r="K9" s="14">
        <f t="shared" si="2"/>
        <v>12.03</v>
      </c>
      <c r="L9" s="10" t="b">
        <v>1</v>
      </c>
    </row>
    <row r="10">
      <c r="A10" s="10" t="s">
        <v>23</v>
      </c>
      <c r="B10" s="10" t="s">
        <v>12</v>
      </c>
      <c r="C10" s="10">
        <v>5.4</v>
      </c>
      <c r="D10" s="10" t="s">
        <v>13</v>
      </c>
      <c r="E10" s="10" t="s">
        <v>14</v>
      </c>
      <c r="F10" s="10">
        <v>1.0</v>
      </c>
      <c r="G10" s="11">
        <f t="shared" si="1"/>
        <v>5.4</v>
      </c>
      <c r="H10" s="10" t="s">
        <v>15</v>
      </c>
      <c r="I10" s="12">
        <v>2.077007E10</v>
      </c>
      <c r="J10" s="16"/>
      <c r="K10" s="14">
        <f t="shared" si="2"/>
        <v>5.4</v>
      </c>
      <c r="L10" s="10" t="b">
        <v>1</v>
      </c>
    </row>
    <row r="11">
      <c r="A11" s="10" t="s">
        <v>24</v>
      </c>
      <c r="B11" s="10" t="s">
        <v>12</v>
      </c>
      <c r="C11" s="10">
        <v>5.19</v>
      </c>
      <c r="D11" s="10" t="s">
        <v>13</v>
      </c>
      <c r="E11" s="10" t="s">
        <v>14</v>
      </c>
      <c r="F11" s="10">
        <v>1.0</v>
      </c>
      <c r="G11" s="11">
        <f t="shared" si="1"/>
        <v>5.19</v>
      </c>
      <c r="H11" s="10" t="s">
        <v>15</v>
      </c>
      <c r="I11" s="12">
        <v>2.077017E10</v>
      </c>
      <c r="J11" s="16"/>
      <c r="K11" s="14">
        <f t="shared" si="2"/>
        <v>5.19</v>
      </c>
      <c r="L11" s="10" t="b">
        <v>1</v>
      </c>
    </row>
    <row r="12">
      <c r="A12" s="10" t="s">
        <v>25</v>
      </c>
      <c r="B12" s="10" t="s">
        <v>12</v>
      </c>
      <c r="C12" s="10">
        <v>4.49</v>
      </c>
      <c r="D12" s="10" t="s">
        <v>13</v>
      </c>
      <c r="E12" s="10" t="s">
        <v>14</v>
      </c>
      <c r="F12" s="10">
        <v>1.0</v>
      </c>
      <c r="G12" s="11">
        <f t="shared" si="1"/>
        <v>4.49</v>
      </c>
      <c r="H12" s="10" t="s">
        <v>15</v>
      </c>
      <c r="I12" s="12">
        <v>2.073031E10</v>
      </c>
      <c r="J12" s="16"/>
      <c r="K12" s="14">
        <f t="shared" si="2"/>
        <v>4.49</v>
      </c>
      <c r="L12" s="10" t="b">
        <v>1</v>
      </c>
    </row>
    <row r="13">
      <c r="A13" s="10" t="s">
        <v>26</v>
      </c>
      <c r="B13" s="10" t="s">
        <v>12</v>
      </c>
      <c r="C13" s="10">
        <v>7.13</v>
      </c>
      <c r="D13" s="10" t="s">
        <v>13</v>
      </c>
      <c r="E13" s="10" t="s">
        <v>14</v>
      </c>
      <c r="F13" s="10">
        <v>1.0</v>
      </c>
      <c r="G13" s="11">
        <f t="shared" si="1"/>
        <v>7.13</v>
      </c>
      <c r="H13" s="10" t="s">
        <v>27</v>
      </c>
      <c r="I13" s="17">
        <v>4.1493161427E10</v>
      </c>
      <c r="J13" s="16"/>
      <c r="K13" s="14">
        <f t="shared" si="2"/>
        <v>7.13</v>
      </c>
      <c r="L13" s="10" t="b">
        <v>1</v>
      </c>
    </row>
    <row r="14">
      <c r="A14" s="10" t="s">
        <v>28</v>
      </c>
      <c r="B14" s="10" t="s">
        <v>12</v>
      </c>
      <c r="C14" s="10">
        <v>7.2</v>
      </c>
      <c r="D14" s="10" t="s">
        <v>13</v>
      </c>
      <c r="E14" s="10" t="s">
        <v>14</v>
      </c>
      <c r="F14" s="10">
        <v>1.0</v>
      </c>
      <c r="G14" s="11">
        <f t="shared" si="1"/>
        <v>7.2</v>
      </c>
      <c r="H14" s="10" t="s">
        <v>15</v>
      </c>
      <c r="I14" s="12">
        <v>2.077608E10</v>
      </c>
      <c r="J14" s="16"/>
      <c r="K14" s="14">
        <f t="shared" si="2"/>
        <v>7.2</v>
      </c>
      <c r="L14" s="10" t="b">
        <v>1</v>
      </c>
    </row>
    <row r="15">
      <c r="A15" s="15" t="s">
        <v>29</v>
      </c>
      <c r="B15" s="10" t="s">
        <v>12</v>
      </c>
      <c r="C15" s="10">
        <v>7.84</v>
      </c>
      <c r="D15" s="10" t="s">
        <v>13</v>
      </c>
      <c r="E15" s="10" t="s">
        <v>14</v>
      </c>
      <c r="F15" s="10">
        <v>1.0</v>
      </c>
      <c r="G15" s="11">
        <f t="shared" si="1"/>
        <v>7.84</v>
      </c>
      <c r="H15" s="10" t="s">
        <v>15</v>
      </c>
      <c r="I15" s="12">
        <v>2.077007E10</v>
      </c>
      <c r="J15" s="16"/>
      <c r="K15" s="14">
        <f t="shared" si="2"/>
        <v>7.84</v>
      </c>
      <c r="L15" s="10" t="b">
        <v>1</v>
      </c>
    </row>
    <row r="16">
      <c r="A16" s="10" t="s">
        <v>30</v>
      </c>
      <c r="B16" s="10" t="s">
        <v>12</v>
      </c>
      <c r="C16" s="10">
        <v>1.55</v>
      </c>
      <c r="D16" s="10" t="s">
        <v>13</v>
      </c>
      <c r="E16" s="10" t="s">
        <v>14</v>
      </c>
      <c r="F16" s="10">
        <v>1.0</v>
      </c>
      <c r="G16" s="11">
        <f t="shared" si="1"/>
        <v>1.55</v>
      </c>
      <c r="H16" s="10" t="s">
        <v>15</v>
      </c>
      <c r="I16" s="12">
        <v>2.077044E10</v>
      </c>
      <c r="J16" s="16"/>
      <c r="K16" s="14">
        <f t="shared" si="2"/>
        <v>1.55</v>
      </c>
      <c r="L16" s="10" t="b">
        <v>1</v>
      </c>
    </row>
    <row r="17">
      <c r="A17" s="15" t="s">
        <v>31</v>
      </c>
      <c r="B17" s="10" t="s">
        <v>12</v>
      </c>
      <c r="C17" s="10">
        <v>3.28</v>
      </c>
      <c r="D17" s="10" t="s">
        <v>13</v>
      </c>
      <c r="E17" s="10" t="s">
        <v>14</v>
      </c>
      <c r="F17" s="10">
        <v>1.0</v>
      </c>
      <c r="G17" s="11">
        <f t="shared" si="1"/>
        <v>3.28</v>
      </c>
      <c r="H17" s="10" t="s">
        <v>15</v>
      </c>
      <c r="I17" s="12">
        <v>2.070463E10</v>
      </c>
      <c r="J17" s="16"/>
      <c r="K17" s="14">
        <f t="shared" si="2"/>
        <v>3.28</v>
      </c>
      <c r="L17" s="10" t="b">
        <v>1</v>
      </c>
    </row>
    <row r="18">
      <c r="A18" s="10" t="s">
        <v>32</v>
      </c>
      <c r="B18" s="10" t="s">
        <v>12</v>
      </c>
      <c r="C18" s="10">
        <v>0.37</v>
      </c>
      <c r="D18" s="10" t="s">
        <v>13</v>
      </c>
      <c r="E18" s="10" t="s">
        <v>14</v>
      </c>
      <c r="F18" s="10">
        <v>1.0</v>
      </c>
      <c r="G18" s="11">
        <f t="shared" si="1"/>
        <v>0.37</v>
      </c>
      <c r="H18" s="10" t="s">
        <v>15</v>
      </c>
      <c r="I18" s="12">
        <v>2.077718E10</v>
      </c>
      <c r="J18" s="16"/>
      <c r="K18" s="14">
        <f t="shared" si="2"/>
        <v>0.37</v>
      </c>
      <c r="L18" s="10" t="b">
        <v>1</v>
      </c>
    </row>
    <row r="19">
      <c r="A19" s="10" t="s">
        <v>33</v>
      </c>
      <c r="B19" s="10" t="s">
        <v>12</v>
      </c>
      <c r="C19" s="10">
        <v>2.87</v>
      </c>
      <c r="D19" s="10" t="s">
        <v>13</v>
      </c>
      <c r="E19" s="10" t="s">
        <v>14</v>
      </c>
      <c r="F19" s="10">
        <v>1.0</v>
      </c>
      <c r="G19" s="11">
        <f t="shared" si="1"/>
        <v>2.87</v>
      </c>
      <c r="H19" s="10" t="s">
        <v>15</v>
      </c>
      <c r="J19" s="16"/>
      <c r="K19" s="14">
        <f t="shared" si="2"/>
        <v>2.87</v>
      </c>
      <c r="L19" s="10" t="b">
        <v>1</v>
      </c>
    </row>
    <row r="20">
      <c r="A20" s="10" t="s">
        <v>34</v>
      </c>
      <c r="B20" s="10" t="s">
        <v>12</v>
      </c>
      <c r="C20" s="10">
        <v>2.03</v>
      </c>
      <c r="D20" s="10" t="s">
        <v>13</v>
      </c>
      <c r="E20" s="10" t="s">
        <v>14</v>
      </c>
      <c r="F20" s="10">
        <v>1.0</v>
      </c>
      <c r="G20" s="11">
        <f t="shared" si="1"/>
        <v>2.03</v>
      </c>
      <c r="H20" s="10" t="s">
        <v>15</v>
      </c>
      <c r="I20" s="12">
        <v>2.07249E10</v>
      </c>
      <c r="J20" s="16"/>
      <c r="K20" s="14">
        <f t="shared" si="2"/>
        <v>2.03</v>
      </c>
      <c r="L20" s="10" t="b">
        <v>1</v>
      </c>
    </row>
    <row r="21">
      <c r="A21" s="10" t="s">
        <v>35</v>
      </c>
      <c r="B21" s="10" t="s">
        <v>12</v>
      </c>
      <c r="C21" s="10">
        <v>1.66</v>
      </c>
      <c r="D21" s="10" t="s">
        <v>13</v>
      </c>
      <c r="E21" s="10" t="s">
        <v>14</v>
      </c>
      <c r="F21" s="10">
        <v>1.0</v>
      </c>
      <c r="G21" s="11">
        <f t="shared" si="1"/>
        <v>1.66</v>
      </c>
      <c r="H21" s="10" t="s">
        <v>15</v>
      </c>
      <c r="I21" s="12">
        <v>2.077046E10</v>
      </c>
      <c r="J21" s="16"/>
      <c r="K21" s="14">
        <f t="shared" si="2"/>
        <v>1.66</v>
      </c>
      <c r="L21" s="10" t="b">
        <v>1</v>
      </c>
    </row>
    <row r="22">
      <c r="A22" s="10" t="s">
        <v>36</v>
      </c>
      <c r="B22" s="10" t="s">
        <v>12</v>
      </c>
      <c r="C22" s="10">
        <v>2.47</v>
      </c>
      <c r="D22" s="10" t="s">
        <v>13</v>
      </c>
      <c r="E22" s="10" t="s">
        <v>14</v>
      </c>
      <c r="F22" s="10">
        <v>1.0</v>
      </c>
      <c r="G22" s="11">
        <f t="shared" si="1"/>
        <v>2.47</v>
      </c>
      <c r="H22" s="10" t="s">
        <v>15</v>
      </c>
      <c r="I22" s="12">
        <v>2.077038E10</v>
      </c>
      <c r="J22" s="16"/>
      <c r="K22" s="14">
        <f t="shared" si="2"/>
        <v>2.47</v>
      </c>
      <c r="L22" s="10" t="b">
        <v>1</v>
      </c>
    </row>
    <row r="23">
      <c r="A23" s="10" t="s">
        <v>37</v>
      </c>
      <c r="B23" s="10" t="s">
        <v>12</v>
      </c>
      <c r="C23" s="10">
        <v>3.99</v>
      </c>
      <c r="D23" s="10" t="s">
        <v>13</v>
      </c>
      <c r="E23" s="10" t="s">
        <v>14</v>
      </c>
      <c r="F23" s="10">
        <v>1.0</v>
      </c>
      <c r="G23" s="11">
        <f t="shared" si="1"/>
        <v>3.99</v>
      </c>
      <c r="H23" s="10" t="s">
        <v>27</v>
      </c>
      <c r="I23" s="17">
        <v>9.0027182127472E13</v>
      </c>
      <c r="J23" s="16"/>
      <c r="K23" s="14">
        <f t="shared" si="2"/>
        <v>3.99</v>
      </c>
      <c r="L23" s="10" t="b">
        <v>1</v>
      </c>
    </row>
    <row r="24">
      <c r="A24" s="10" t="s">
        <v>38</v>
      </c>
      <c r="B24" s="10" t="s">
        <v>12</v>
      </c>
      <c r="C24" s="10">
        <v>69.368</v>
      </c>
      <c r="D24" s="10" t="s">
        <v>13</v>
      </c>
      <c r="E24" s="10" t="s">
        <v>14</v>
      </c>
      <c r="F24" s="10">
        <v>15.0</v>
      </c>
      <c r="G24" s="11">
        <f t="shared" si="1"/>
        <v>4.624533333</v>
      </c>
      <c r="H24" s="10" t="s">
        <v>15</v>
      </c>
      <c r="I24" s="12">
        <v>7.961835211E9</v>
      </c>
      <c r="J24" s="16"/>
      <c r="K24" s="14">
        <f t="shared" si="2"/>
        <v>4.624533333</v>
      </c>
      <c r="L24" s="10" t="b">
        <v>1</v>
      </c>
    </row>
    <row r="25">
      <c r="A25" s="15" t="s">
        <v>39</v>
      </c>
      <c r="B25" s="10" t="s">
        <v>40</v>
      </c>
      <c r="C25" s="10">
        <v>10.0</v>
      </c>
      <c r="D25" s="10" t="s">
        <v>13</v>
      </c>
      <c r="E25" s="10" t="s">
        <v>14</v>
      </c>
      <c r="F25" s="10">
        <v>1.0</v>
      </c>
      <c r="G25" s="11">
        <f t="shared" si="1"/>
        <v>10</v>
      </c>
      <c r="H25" s="10" t="s">
        <v>41</v>
      </c>
      <c r="J25" s="16"/>
      <c r="K25" s="14">
        <f t="shared" si="2"/>
        <v>10</v>
      </c>
      <c r="L25" s="15" t="b">
        <v>0</v>
      </c>
    </row>
    <row r="26">
      <c r="A26" s="10" t="s">
        <v>42</v>
      </c>
      <c r="B26" s="10" t="s">
        <v>12</v>
      </c>
      <c r="C26" s="10">
        <v>46.65</v>
      </c>
      <c r="D26" s="10" t="s">
        <v>43</v>
      </c>
      <c r="E26" s="10" t="s">
        <v>44</v>
      </c>
      <c r="F26" s="10">
        <v>144.0</v>
      </c>
      <c r="G26" s="11">
        <f t="shared" si="1"/>
        <v>0.3239583333</v>
      </c>
      <c r="H26" s="10" t="s">
        <v>15</v>
      </c>
      <c r="I26" s="12">
        <v>3.760017777E9</v>
      </c>
      <c r="J26" s="16"/>
      <c r="K26" s="14">
        <f t="shared" si="2"/>
        <v>0.3239583333</v>
      </c>
      <c r="L26" s="10" t="b">
        <v>1</v>
      </c>
    </row>
    <row r="27">
      <c r="A27" s="10" t="s">
        <v>45</v>
      </c>
      <c r="B27" s="10" t="s">
        <v>12</v>
      </c>
      <c r="C27" s="10">
        <v>4.73</v>
      </c>
      <c r="D27" s="10" t="s">
        <v>13</v>
      </c>
      <c r="E27" s="10" t="s">
        <v>14</v>
      </c>
      <c r="F27" s="10">
        <v>1.0</v>
      </c>
      <c r="G27" s="11">
        <f t="shared" si="1"/>
        <v>4.73</v>
      </c>
      <c r="H27" s="10" t="s">
        <v>15</v>
      </c>
      <c r="I27" s="12">
        <v>2.070043E10</v>
      </c>
      <c r="J27" s="16"/>
      <c r="K27" s="14">
        <f t="shared" si="2"/>
        <v>4.73</v>
      </c>
      <c r="L27" s="10" t="b">
        <v>1</v>
      </c>
    </row>
    <row r="28">
      <c r="A28" s="10" t="s">
        <v>46</v>
      </c>
      <c r="B28" s="10" t="s">
        <v>12</v>
      </c>
      <c r="C28" s="10">
        <v>9.61</v>
      </c>
      <c r="D28" s="10" t="s">
        <v>13</v>
      </c>
      <c r="E28" s="10" t="s">
        <v>14</v>
      </c>
      <c r="F28" s="10">
        <v>1.0</v>
      </c>
      <c r="G28" s="11">
        <f t="shared" si="1"/>
        <v>9.61</v>
      </c>
      <c r="H28" s="10" t="s">
        <v>15</v>
      </c>
      <c r="I28" s="12">
        <v>2.070018E10</v>
      </c>
      <c r="J28" s="16"/>
      <c r="K28" s="14">
        <f t="shared" si="2"/>
        <v>9.61</v>
      </c>
      <c r="L28" s="10" t="b">
        <v>1</v>
      </c>
    </row>
    <row r="29" ht="15.75" customHeight="1">
      <c r="A29" s="10" t="s">
        <v>47</v>
      </c>
      <c r="B29" s="10" t="s">
        <v>12</v>
      </c>
      <c r="C29" s="10">
        <v>0.46</v>
      </c>
      <c r="D29" s="10" t="s">
        <v>13</v>
      </c>
      <c r="E29" s="10" t="s">
        <v>44</v>
      </c>
      <c r="F29" s="10">
        <v>40.0</v>
      </c>
      <c r="G29" s="11">
        <f t="shared" si="1"/>
        <v>0.0115</v>
      </c>
      <c r="H29" s="10" t="s">
        <v>15</v>
      </c>
      <c r="I29" s="12">
        <v>1.78697073E9</v>
      </c>
      <c r="J29" s="16"/>
      <c r="K29" s="14">
        <f t="shared" si="2"/>
        <v>0.0115</v>
      </c>
      <c r="L29" s="10" t="b">
        <v>1</v>
      </c>
    </row>
    <row r="30" ht="15.75" customHeight="1">
      <c r="A30" s="10" t="s">
        <v>48</v>
      </c>
      <c r="B30" s="10" t="s">
        <v>12</v>
      </c>
      <c r="C30" s="10">
        <v>7.65</v>
      </c>
      <c r="D30" s="10" t="s">
        <v>13</v>
      </c>
      <c r="E30" s="10" t="s">
        <v>14</v>
      </c>
      <c r="F30" s="10">
        <v>1.0</v>
      </c>
      <c r="G30" s="11">
        <f t="shared" si="1"/>
        <v>7.65</v>
      </c>
      <c r="H30" s="10" t="s">
        <v>15</v>
      </c>
      <c r="I30" s="12">
        <v>2.070643E10</v>
      </c>
      <c r="J30" s="16"/>
      <c r="K30" s="14">
        <f t="shared" si="2"/>
        <v>7.65</v>
      </c>
      <c r="L30" s="10" t="b">
        <v>1</v>
      </c>
    </row>
    <row r="31" ht="15.75" customHeight="1">
      <c r="A31" s="10" t="s">
        <v>49</v>
      </c>
      <c r="B31" s="10" t="s">
        <v>12</v>
      </c>
      <c r="C31" s="10">
        <v>5.56</v>
      </c>
      <c r="D31" s="10" t="s">
        <v>13</v>
      </c>
      <c r="E31" s="10" t="s">
        <v>14</v>
      </c>
      <c r="F31" s="10">
        <v>1.0</v>
      </c>
      <c r="G31" s="11">
        <f t="shared" si="1"/>
        <v>5.56</v>
      </c>
      <c r="H31" s="10" t="s">
        <v>15</v>
      </c>
      <c r="I31" s="12">
        <v>1.786970738E9</v>
      </c>
      <c r="J31" s="16"/>
      <c r="K31" s="14">
        <f t="shared" si="2"/>
        <v>5.56</v>
      </c>
      <c r="L31" s="10" t="b">
        <v>1</v>
      </c>
    </row>
    <row r="32" ht="15.75" customHeight="1">
      <c r="A32" s="10" t="s">
        <v>50</v>
      </c>
      <c r="B32" s="10" t="s">
        <v>12</v>
      </c>
      <c r="C32" s="10">
        <v>2.98</v>
      </c>
      <c r="D32" s="10" t="s">
        <v>13</v>
      </c>
      <c r="E32" s="10" t="s">
        <v>14</v>
      </c>
      <c r="F32" s="10">
        <v>1.0</v>
      </c>
      <c r="G32" s="11">
        <f t="shared" si="1"/>
        <v>2.98</v>
      </c>
      <c r="H32" s="10" t="s">
        <v>15</v>
      </c>
      <c r="I32" s="12">
        <v>2.018661E10</v>
      </c>
      <c r="J32" s="16"/>
      <c r="K32" s="14"/>
      <c r="L32" s="10" t="b">
        <v>1</v>
      </c>
    </row>
    <row r="33" ht="15.75" customHeight="1">
      <c r="A33" s="10" t="s">
        <v>51</v>
      </c>
      <c r="B33" s="10" t="s">
        <v>12</v>
      </c>
      <c r="C33" s="10">
        <v>4.85</v>
      </c>
      <c r="D33" s="10" t="s">
        <v>13</v>
      </c>
      <c r="E33" s="10" t="s">
        <v>14</v>
      </c>
      <c r="F33" s="10">
        <v>1.0</v>
      </c>
      <c r="G33" s="11">
        <f t="shared" si="1"/>
        <v>4.85</v>
      </c>
      <c r="H33" s="10" t="s">
        <v>15</v>
      </c>
      <c r="I33" s="12">
        <v>2.073038E10</v>
      </c>
      <c r="J33" s="16"/>
      <c r="K33" s="14"/>
      <c r="L33" s="10" t="b">
        <v>1</v>
      </c>
    </row>
    <row r="34" ht="15.75" customHeight="1">
      <c r="A34" s="10" t="s">
        <v>52</v>
      </c>
      <c r="B34" s="10" t="s">
        <v>12</v>
      </c>
      <c r="C34" s="10">
        <v>6.02</v>
      </c>
      <c r="D34" s="10" t="s">
        <v>13</v>
      </c>
      <c r="E34" s="10" t="s">
        <v>14</v>
      </c>
      <c r="F34" s="10">
        <v>1.0</v>
      </c>
      <c r="G34" s="11">
        <f t="shared" si="1"/>
        <v>6.02</v>
      </c>
      <c r="H34" s="10" t="s">
        <v>15</v>
      </c>
      <c r="I34" s="12">
        <v>2.073606E10</v>
      </c>
      <c r="J34" s="16"/>
      <c r="K34" s="14"/>
      <c r="L34" s="10" t="b">
        <v>1</v>
      </c>
    </row>
    <row r="35" ht="15.75" customHeight="1">
      <c r="A35" s="10" t="s">
        <v>53</v>
      </c>
      <c r="B35" s="10" t="s">
        <v>12</v>
      </c>
      <c r="C35" s="10">
        <v>7.71</v>
      </c>
      <c r="D35" s="10" t="s">
        <v>13</v>
      </c>
      <c r="E35" s="10" t="s">
        <v>14</v>
      </c>
      <c r="F35" s="10">
        <v>1.0</v>
      </c>
      <c r="G35" s="11">
        <f t="shared" si="1"/>
        <v>7.71</v>
      </c>
      <c r="H35" s="10" t="s">
        <v>15</v>
      </c>
      <c r="I35" s="12">
        <v>1.7869708435E10</v>
      </c>
      <c r="J35" s="16"/>
      <c r="K35" s="14"/>
      <c r="L35" s="10" t="b">
        <v>1</v>
      </c>
    </row>
    <row r="36" ht="15.75" customHeight="1">
      <c r="A36" s="10" t="s">
        <v>54</v>
      </c>
      <c r="B36" s="10" t="s">
        <v>12</v>
      </c>
      <c r="C36" s="10">
        <v>1.75</v>
      </c>
      <c r="D36" s="10" t="s">
        <v>13</v>
      </c>
      <c r="E36" s="10" t="s">
        <v>14</v>
      </c>
      <c r="F36" s="10">
        <v>1.0</v>
      </c>
      <c r="G36" s="11">
        <f t="shared" si="1"/>
        <v>1.75</v>
      </c>
      <c r="H36" s="10" t="s">
        <v>15</v>
      </c>
      <c r="I36" s="12">
        <v>3.080225687E9</v>
      </c>
      <c r="J36" s="16"/>
      <c r="K36" s="14"/>
      <c r="L36" s="10" t="b">
        <v>1</v>
      </c>
    </row>
    <row r="37" ht="15.75" customHeight="1">
      <c r="A37" s="10" t="s">
        <v>55</v>
      </c>
      <c r="B37" s="10" t="s">
        <v>12</v>
      </c>
      <c r="C37" s="10">
        <v>1.25</v>
      </c>
      <c r="D37" s="10" t="s">
        <v>13</v>
      </c>
      <c r="E37" s="10" t="s">
        <v>14</v>
      </c>
      <c r="F37" s="10">
        <v>1.0</v>
      </c>
      <c r="G37" s="11">
        <f t="shared" si="1"/>
        <v>1.25</v>
      </c>
      <c r="H37" s="10" t="s">
        <v>15</v>
      </c>
      <c r="I37" s="12">
        <v>2.077082E10</v>
      </c>
      <c r="J37" s="16"/>
      <c r="K37" s="14"/>
      <c r="L37" s="10" t="b">
        <v>1</v>
      </c>
    </row>
    <row r="38" ht="15.75" customHeight="1">
      <c r="A38" s="15" t="s">
        <v>56</v>
      </c>
      <c r="B38" s="10" t="s">
        <v>12</v>
      </c>
      <c r="C38" s="10">
        <v>0.84</v>
      </c>
      <c r="D38" s="10" t="s">
        <v>13</v>
      </c>
      <c r="E38" s="10" t="s">
        <v>14</v>
      </c>
      <c r="F38" s="10">
        <v>1.0</v>
      </c>
      <c r="G38" s="11">
        <f t="shared" si="1"/>
        <v>0.84</v>
      </c>
      <c r="H38" s="10" t="s">
        <v>15</v>
      </c>
      <c r="I38" s="12">
        <v>2.080271E10</v>
      </c>
      <c r="J38" s="16"/>
      <c r="K38" s="14"/>
      <c r="L38" s="10" t="b">
        <v>1</v>
      </c>
    </row>
    <row r="39" ht="15.75" customHeight="1">
      <c r="A39" s="10" t="s">
        <v>57</v>
      </c>
      <c r="B39" s="10" t="s">
        <v>12</v>
      </c>
      <c r="C39" s="10">
        <v>1.35</v>
      </c>
      <c r="D39" s="10" t="s">
        <v>13</v>
      </c>
      <c r="E39" s="10" t="s">
        <v>14</v>
      </c>
      <c r="F39" s="10">
        <v>1.0</v>
      </c>
      <c r="G39" s="11">
        <f t="shared" si="1"/>
        <v>1.35</v>
      </c>
      <c r="H39" s="10" t="s">
        <v>15</v>
      </c>
      <c r="I39" s="12">
        <v>2.079727E10</v>
      </c>
      <c r="J39" s="16"/>
      <c r="K39" s="14"/>
      <c r="L39" s="10" t="b">
        <v>1</v>
      </c>
    </row>
    <row r="40" ht="15.75" customHeight="1">
      <c r="A40" s="10" t="s">
        <v>58</v>
      </c>
      <c r="B40" s="10" t="s">
        <v>12</v>
      </c>
      <c r="C40" s="10">
        <v>1.53</v>
      </c>
      <c r="D40" s="10" t="s">
        <v>13</v>
      </c>
      <c r="E40" s="10" t="s">
        <v>14</v>
      </c>
      <c r="F40" s="10">
        <v>1.0</v>
      </c>
      <c r="G40" s="11">
        <f t="shared" si="1"/>
        <v>1.53</v>
      </c>
      <c r="H40" s="10" t="s">
        <v>15</v>
      </c>
      <c r="I40" s="12">
        <v>2.077079E10</v>
      </c>
      <c r="J40" s="16"/>
      <c r="K40" s="14"/>
      <c r="L40" s="10" t="b">
        <v>1</v>
      </c>
    </row>
    <row r="41" ht="15.75" customHeight="1">
      <c r="A41" s="15" t="s">
        <v>59</v>
      </c>
      <c r="B41" s="10" t="s">
        <v>12</v>
      </c>
      <c r="C41" s="10">
        <v>5.0</v>
      </c>
      <c r="D41" s="10" t="s">
        <v>13</v>
      </c>
      <c r="E41" s="10" t="s">
        <v>14</v>
      </c>
      <c r="F41" s="10">
        <v>1.0</v>
      </c>
      <c r="G41" s="11">
        <f t="shared" si="1"/>
        <v>5</v>
      </c>
      <c r="H41" s="10" t="s">
        <v>41</v>
      </c>
      <c r="J41" s="16"/>
      <c r="K41" s="14"/>
      <c r="L41" s="10" t="b">
        <v>0</v>
      </c>
    </row>
    <row r="42" ht="15.75" customHeight="1">
      <c r="A42" s="18" t="s">
        <v>60</v>
      </c>
      <c r="B42" s="18" t="s">
        <v>12</v>
      </c>
      <c r="C42" s="10">
        <v>5.0</v>
      </c>
      <c r="D42" s="10" t="s">
        <v>13</v>
      </c>
      <c r="E42" s="18" t="s">
        <v>14</v>
      </c>
      <c r="F42" s="10">
        <v>1.0</v>
      </c>
      <c r="G42" s="11">
        <f t="shared" si="1"/>
        <v>5</v>
      </c>
      <c r="H42" s="10" t="s">
        <v>41</v>
      </c>
      <c r="J42" s="16"/>
      <c r="K42" s="14"/>
      <c r="L42" s="18" t="b">
        <v>0</v>
      </c>
    </row>
    <row r="43" ht="15.75" customHeight="1">
      <c r="A43" s="10" t="s">
        <v>61</v>
      </c>
      <c r="B43" s="10" t="s">
        <v>12</v>
      </c>
      <c r="C43" s="10">
        <v>0.67</v>
      </c>
      <c r="D43" s="10" t="s">
        <v>13</v>
      </c>
      <c r="E43" s="10" t="s">
        <v>44</v>
      </c>
      <c r="F43" s="10">
        <v>80.0</v>
      </c>
      <c r="G43" s="11">
        <f t="shared" si="1"/>
        <v>0.008375</v>
      </c>
      <c r="H43" s="10" t="s">
        <v>15</v>
      </c>
      <c r="I43" s="12">
        <v>4.100606321E9</v>
      </c>
      <c r="J43" s="16"/>
      <c r="K43" s="14"/>
      <c r="L43" s="10" t="b">
        <v>1</v>
      </c>
    </row>
    <row r="44" ht="15.75" customHeight="1">
      <c r="A44" s="10" t="s">
        <v>62</v>
      </c>
      <c r="B44" s="10" t="s">
        <v>12</v>
      </c>
      <c r="C44" s="10">
        <v>0.85</v>
      </c>
      <c r="D44" s="10" t="s">
        <v>13</v>
      </c>
      <c r="E44" s="10" t="s">
        <v>14</v>
      </c>
      <c r="F44" s="10">
        <v>1.0</v>
      </c>
      <c r="G44" s="11">
        <f t="shared" si="1"/>
        <v>0.85</v>
      </c>
      <c r="H44" s="10" t="s">
        <v>15</v>
      </c>
      <c r="I44" s="12">
        <v>2.079503E10</v>
      </c>
      <c r="J44" s="16"/>
      <c r="K44" s="14"/>
      <c r="L44" s="10" t="b">
        <v>1</v>
      </c>
    </row>
    <row r="45" ht="15.75" customHeight="1">
      <c r="A45" s="10" t="s">
        <v>63</v>
      </c>
      <c r="B45" s="10" t="s">
        <v>12</v>
      </c>
      <c r="C45" s="10">
        <v>6.79</v>
      </c>
      <c r="D45" s="10" t="s">
        <v>13</v>
      </c>
      <c r="E45" s="10" t="s">
        <v>14</v>
      </c>
      <c r="F45" s="10">
        <v>1.0</v>
      </c>
      <c r="G45" s="11">
        <f t="shared" si="1"/>
        <v>6.79</v>
      </c>
      <c r="H45" s="10" t="s">
        <v>15</v>
      </c>
      <c r="I45" s="12">
        <v>2.079042E10</v>
      </c>
      <c r="J45" s="16"/>
      <c r="K45" s="14"/>
      <c r="L45" s="15" t="b">
        <v>0</v>
      </c>
    </row>
    <row r="46" ht="15.75" customHeight="1">
      <c r="A46" s="10" t="s">
        <v>64</v>
      </c>
      <c r="B46" s="10" t="s">
        <v>12</v>
      </c>
      <c r="C46" s="10">
        <v>5.08</v>
      </c>
      <c r="D46" s="10" t="s">
        <v>13</v>
      </c>
      <c r="E46" s="10" t="s">
        <v>14</v>
      </c>
      <c r="F46" s="10">
        <v>1.0</v>
      </c>
      <c r="G46" s="11">
        <f t="shared" si="1"/>
        <v>5.08</v>
      </c>
      <c r="H46" s="10" t="s">
        <v>15</v>
      </c>
      <c r="I46" s="12">
        <v>2.077155E10</v>
      </c>
      <c r="J46" s="16"/>
      <c r="K46" s="14"/>
      <c r="L46" s="15" t="b">
        <v>0</v>
      </c>
    </row>
    <row r="47" ht="15.75" customHeight="1">
      <c r="A47" s="10" t="s">
        <v>65</v>
      </c>
      <c r="B47" s="10" t="s">
        <v>12</v>
      </c>
      <c r="C47" s="10">
        <v>17.37</v>
      </c>
      <c r="D47" s="10" t="s">
        <v>13</v>
      </c>
      <c r="E47" s="10" t="s">
        <v>14</v>
      </c>
      <c r="F47" s="10">
        <v>1.0</v>
      </c>
      <c r="G47" s="11">
        <f t="shared" si="1"/>
        <v>17.37</v>
      </c>
      <c r="H47" s="10" t="s">
        <v>15</v>
      </c>
      <c r="I47" s="12">
        <v>2.077157E10</v>
      </c>
      <c r="J47" s="16"/>
      <c r="K47" s="14"/>
      <c r="L47" s="15" t="b">
        <v>0</v>
      </c>
    </row>
    <row r="48" ht="15.75" customHeight="1">
      <c r="A48" s="15" t="s">
        <v>66</v>
      </c>
      <c r="B48" s="10" t="s">
        <v>12</v>
      </c>
      <c r="C48" s="10">
        <v>9.78</v>
      </c>
      <c r="D48" s="10" t="s">
        <v>13</v>
      </c>
      <c r="E48" s="10" t="s">
        <v>14</v>
      </c>
      <c r="F48" s="10">
        <v>1.0</v>
      </c>
      <c r="G48" s="11">
        <f t="shared" si="1"/>
        <v>9.78</v>
      </c>
      <c r="H48" s="10" t="s">
        <v>15</v>
      </c>
      <c r="I48" s="12">
        <v>2.070181E10</v>
      </c>
      <c r="J48" s="16"/>
      <c r="K48" s="14"/>
      <c r="L48" s="15" t="b">
        <v>0</v>
      </c>
    </row>
    <row r="49" ht="15.75" customHeight="1">
      <c r="A49" s="15" t="s">
        <v>67</v>
      </c>
      <c r="B49" s="10" t="s">
        <v>68</v>
      </c>
      <c r="C49" s="10">
        <v>0.49</v>
      </c>
      <c r="D49" s="10" t="s">
        <v>13</v>
      </c>
      <c r="E49" s="10" t="s">
        <v>44</v>
      </c>
      <c r="F49" s="10">
        <v>160.0</v>
      </c>
      <c r="G49" s="11">
        <f t="shared" si="1"/>
        <v>0.0030625</v>
      </c>
      <c r="H49" s="10" t="s">
        <v>15</v>
      </c>
      <c r="I49" s="12">
        <v>8.1814701003E10</v>
      </c>
      <c r="J49" s="16"/>
      <c r="K49" s="14"/>
      <c r="L49" s="15" t="b">
        <v>0</v>
      </c>
    </row>
    <row r="50" ht="15.75" customHeight="1">
      <c r="A50" s="10" t="s">
        <v>69</v>
      </c>
      <c r="B50" s="10" t="s">
        <v>68</v>
      </c>
      <c r="C50" s="10">
        <v>33.8</v>
      </c>
      <c r="D50" s="10" t="s">
        <v>13</v>
      </c>
      <c r="E50" s="10" t="s">
        <v>14</v>
      </c>
      <c r="F50" s="10">
        <v>5.0</v>
      </c>
      <c r="G50" s="11">
        <f t="shared" si="1"/>
        <v>6.76</v>
      </c>
      <c r="H50" s="10" t="s">
        <v>15</v>
      </c>
      <c r="I50" s="12">
        <v>8.1978601752E10</v>
      </c>
      <c r="J50" s="16"/>
      <c r="K50" s="14"/>
      <c r="L50" s="15" t="b">
        <v>0</v>
      </c>
    </row>
    <row r="51" ht="15.75" customHeight="1">
      <c r="A51" s="10" t="s">
        <v>70</v>
      </c>
      <c r="B51" s="10" t="s">
        <v>68</v>
      </c>
      <c r="C51" s="10">
        <v>10.47</v>
      </c>
      <c r="D51" s="10" t="s">
        <v>13</v>
      </c>
      <c r="E51" s="10" t="s">
        <v>14</v>
      </c>
      <c r="F51" s="10">
        <v>1.0</v>
      </c>
      <c r="G51" s="11">
        <f t="shared" si="1"/>
        <v>10.47</v>
      </c>
      <c r="H51" s="10" t="s">
        <v>15</v>
      </c>
      <c r="I51" s="12">
        <v>2.073745E10</v>
      </c>
      <c r="J51" s="16"/>
      <c r="K51" s="14"/>
      <c r="L51" s="15" t="b">
        <v>0</v>
      </c>
    </row>
    <row r="52" ht="15.75" customHeight="1">
      <c r="A52" s="10" t="s">
        <v>71</v>
      </c>
      <c r="B52" s="10" t="s">
        <v>68</v>
      </c>
      <c r="C52" s="10">
        <v>6.35</v>
      </c>
      <c r="D52" s="10" t="s">
        <v>13</v>
      </c>
      <c r="E52" s="10" t="s">
        <v>14</v>
      </c>
      <c r="F52" s="10">
        <v>1.0</v>
      </c>
      <c r="G52" s="11">
        <f t="shared" si="1"/>
        <v>6.35</v>
      </c>
      <c r="H52" s="10" t="s">
        <v>15</v>
      </c>
      <c r="I52" s="12">
        <v>2.078062E10</v>
      </c>
      <c r="J52" s="16"/>
      <c r="K52" s="14"/>
      <c r="L52" s="15" t="b">
        <v>0</v>
      </c>
    </row>
    <row r="53" ht="15.75" customHeight="1">
      <c r="A53" s="10" t="s">
        <v>72</v>
      </c>
      <c r="B53" s="10" t="s">
        <v>68</v>
      </c>
      <c r="C53" s="10">
        <v>6.18</v>
      </c>
      <c r="D53" s="10" t="s">
        <v>13</v>
      </c>
      <c r="E53" s="10" t="s">
        <v>14</v>
      </c>
      <c r="F53" s="10">
        <v>1.0</v>
      </c>
      <c r="G53" s="11">
        <f t="shared" si="1"/>
        <v>6.18</v>
      </c>
      <c r="H53" s="10" t="s">
        <v>15</v>
      </c>
      <c r="I53" s="12">
        <v>8.1814701062E10</v>
      </c>
      <c r="J53" s="16"/>
      <c r="K53" s="14"/>
      <c r="L53" s="15" t="b">
        <v>0</v>
      </c>
    </row>
    <row r="54" ht="15.75" customHeight="1">
      <c r="A54" s="10" t="s">
        <v>73</v>
      </c>
      <c r="B54" s="10" t="s">
        <v>68</v>
      </c>
      <c r="C54" s="10">
        <v>6.83</v>
      </c>
      <c r="D54" s="10" t="s">
        <v>13</v>
      </c>
      <c r="E54" s="10" t="s">
        <v>14</v>
      </c>
      <c r="F54" s="10">
        <v>1.0</v>
      </c>
      <c r="G54" s="11">
        <f t="shared" si="1"/>
        <v>6.83</v>
      </c>
      <c r="H54" s="10" t="s">
        <v>15</v>
      </c>
      <c r="I54" s="12">
        <v>2.077838E10</v>
      </c>
      <c r="J54" s="16"/>
      <c r="K54" s="14"/>
      <c r="L54" s="15" t="b">
        <v>0</v>
      </c>
    </row>
    <row r="55" ht="15.75" customHeight="1">
      <c r="A55" s="10" t="s">
        <v>74</v>
      </c>
      <c r="B55" s="10" t="s">
        <v>68</v>
      </c>
      <c r="C55" s="10">
        <v>69.99</v>
      </c>
      <c r="D55" s="10" t="s">
        <v>13</v>
      </c>
      <c r="E55" s="10" t="s">
        <v>14</v>
      </c>
      <c r="F55" s="10">
        <v>5.0</v>
      </c>
      <c r="G55" s="11">
        <f t="shared" si="1"/>
        <v>13.998</v>
      </c>
      <c r="H55" s="10" t="s">
        <v>27</v>
      </c>
      <c r="I55" s="17">
        <v>2.9714072042E10</v>
      </c>
      <c r="J55" s="16"/>
      <c r="K55" s="14"/>
      <c r="L55" s="15" t="b">
        <v>0</v>
      </c>
    </row>
    <row r="56" ht="15.75" customHeight="1">
      <c r="A56" s="15" t="s">
        <v>75</v>
      </c>
      <c r="B56" s="10" t="s">
        <v>68</v>
      </c>
      <c r="C56" s="10">
        <v>18.0</v>
      </c>
      <c r="D56" s="10" t="s">
        <v>13</v>
      </c>
      <c r="E56" s="10" t="s">
        <v>14</v>
      </c>
      <c r="F56" s="10">
        <v>1.0</v>
      </c>
      <c r="G56" s="11">
        <f t="shared" si="1"/>
        <v>18</v>
      </c>
      <c r="H56" s="10" t="s">
        <v>41</v>
      </c>
      <c r="J56" s="16"/>
      <c r="K56" s="14"/>
      <c r="L56" s="15" t="b">
        <v>0</v>
      </c>
    </row>
    <row r="57" ht="15.75" customHeight="1">
      <c r="A57" s="10" t="s">
        <v>76</v>
      </c>
      <c r="B57" s="10" t="s">
        <v>68</v>
      </c>
      <c r="C57" s="10">
        <v>30.0</v>
      </c>
      <c r="D57" s="10" t="s">
        <v>13</v>
      </c>
      <c r="E57" s="10" t="s">
        <v>14</v>
      </c>
      <c r="F57" s="10">
        <v>5.0</v>
      </c>
      <c r="G57" s="11">
        <f t="shared" si="1"/>
        <v>6</v>
      </c>
      <c r="H57" s="10" t="s">
        <v>15</v>
      </c>
      <c r="I57" s="12">
        <v>7.6069534135E10</v>
      </c>
      <c r="J57" s="16"/>
      <c r="K57" s="14"/>
      <c r="L57" s="15" t="b">
        <v>0</v>
      </c>
    </row>
    <row r="58" ht="15.75" customHeight="1">
      <c r="A58" s="10" t="s">
        <v>77</v>
      </c>
      <c r="B58" s="10" t="s">
        <v>68</v>
      </c>
      <c r="C58" s="10">
        <v>15.66</v>
      </c>
      <c r="D58" s="10" t="s">
        <v>13</v>
      </c>
      <c r="E58" s="10" t="s">
        <v>14</v>
      </c>
      <c r="F58" s="10">
        <v>2.0</v>
      </c>
      <c r="G58" s="11">
        <f t="shared" si="1"/>
        <v>7.83</v>
      </c>
      <c r="H58" s="10" t="s">
        <v>15</v>
      </c>
      <c r="I58" s="12">
        <v>7.6069534058E10</v>
      </c>
      <c r="J58" s="16"/>
      <c r="K58" s="14"/>
      <c r="L58" s="15" t="b">
        <v>0</v>
      </c>
    </row>
    <row r="59" ht="15.75" customHeight="1">
      <c r="A59" s="10" t="s">
        <v>78</v>
      </c>
      <c r="B59" s="10" t="s">
        <v>68</v>
      </c>
      <c r="C59" s="10">
        <v>16.41</v>
      </c>
      <c r="D59" s="10" t="s">
        <v>13</v>
      </c>
      <c r="E59" s="10" t="s">
        <v>14</v>
      </c>
      <c r="F59" s="10">
        <v>2.0</v>
      </c>
      <c r="G59" s="11">
        <f t="shared" si="1"/>
        <v>8.205</v>
      </c>
      <c r="H59" s="10" t="s">
        <v>15</v>
      </c>
      <c r="I59" s="12">
        <v>7.6069534059E10</v>
      </c>
      <c r="J59" s="16"/>
      <c r="K59" s="14"/>
      <c r="L59" s="15" t="b">
        <v>0</v>
      </c>
    </row>
    <row r="60" ht="15.75" customHeight="1">
      <c r="A60" s="10" t="s">
        <v>79</v>
      </c>
      <c r="B60" s="15"/>
      <c r="C60" s="10">
        <v>18.0</v>
      </c>
      <c r="D60" s="10" t="s">
        <v>13</v>
      </c>
      <c r="E60" s="10" t="s">
        <v>14</v>
      </c>
      <c r="F60" s="10">
        <v>2.0</v>
      </c>
      <c r="G60" s="11">
        <f t="shared" si="1"/>
        <v>9</v>
      </c>
      <c r="H60" s="10" t="s">
        <v>15</v>
      </c>
      <c r="I60" s="12">
        <v>8.2994406162E10</v>
      </c>
      <c r="J60" s="16"/>
      <c r="K60" s="14"/>
      <c r="L60" s="15" t="b">
        <v>0</v>
      </c>
    </row>
    <row r="61" ht="15.75" customHeight="1">
      <c r="A61" s="10" t="s">
        <v>80</v>
      </c>
      <c r="B61" s="10" t="s">
        <v>68</v>
      </c>
      <c r="C61" s="10">
        <v>35.99</v>
      </c>
      <c r="D61" s="10" t="s">
        <v>13</v>
      </c>
      <c r="E61" s="10" t="s">
        <v>14</v>
      </c>
      <c r="F61" s="10">
        <v>4.0</v>
      </c>
      <c r="G61" s="11">
        <f t="shared" si="1"/>
        <v>8.9975</v>
      </c>
      <c r="H61" s="10" t="s">
        <v>15</v>
      </c>
      <c r="I61" s="12">
        <v>8.0495432016E10</v>
      </c>
      <c r="J61" s="16"/>
      <c r="K61" s="14"/>
      <c r="L61" s="15" t="b">
        <v>0</v>
      </c>
    </row>
    <row r="62" ht="15.75" customHeight="1">
      <c r="A62" s="10" t="s">
        <v>81</v>
      </c>
      <c r="B62" s="10" t="s">
        <v>68</v>
      </c>
      <c r="C62" s="10">
        <v>2.0</v>
      </c>
      <c r="D62" s="15"/>
      <c r="E62" s="10" t="s">
        <v>82</v>
      </c>
      <c r="G62" s="11" t="str">
        <f t="shared" si="1"/>
        <v>#DIV/0!</v>
      </c>
      <c r="H62" s="10" t="s">
        <v>83</v>
      </c>
      <c r="J62" s="16"/>
      <c r="K62" s="14"/>
      <c r="L62" s="15" t="b">
        <v>0</v>
      </c>
    </row>
    <row r="63" ht="15.75" customHeight="1">
      <c r="A63" s="10" t="s">
        <v>84</v>
      </c>
      <c r="B63" s="10" t="s">
        <v>68</v>
      </c>
      <c r="C63" s="10">
        <v>12.0</v>
      </c>
      <c r="D63" s="15"/>
      <c r="E63" s="10" t="s">
        <v>14</v>
      </c>
      <c r="F63" s="10">
        <v>1.0</v>
      </c>
      <c r="G63" s="11">
        <f t="shared" si="1"/>
        <v>12</v>
      </c>
      <c r="H63" s="10" t="s">
        <v>27</v>
      </c>
      <c r="I63" s="17">
        <v>1.0070017046107E13</v>
      </c>
      <c r="J63" s="16"/>
      <c r="K63" s="14"/>
      <c r="L63" s="15" t="b">
        <v>0</v>
      </c>
    </row>
    <row r="64" ht="15.75" customHeight="1">
      <c r="A64" s="10" t="s">
        <v>85</v>
      </c>
      <c r="B64" s="10" t="s">
        <v>68</v>
      </c>
      <c r="C64" s="10">
        <v>35.0</v>
      </c>
      <c r="D64" s="15"/>
      <c r="E64" s="10" t="s">
        <v>14</v>
      </c>
      <c r="F64" s="10">
        <v>1.0</v>
      </c>
      <c r="G64" s="11">
        <f t="shared" si="1"/>
        <v>35</v>
      </c>
      <c r="H64" s="10" t="s">
        <v>27</v>
      </c>
      <c r="I64" s="17">
        <v>4.9029600044E10</v>
      </c>
      <c r="J64" s="16"/>
      <c r="K64" s="14"/>
      <c r="L64" s="15" t="b">
        <v>0</v>
      </c>
    </row>
    <row r="65" ht="15.75" customHeight="1">
      <c r="A65" s="15" t="s">
        <v>86</v>
      </c>
      <c r="B65" s="10" t="s">
        <v>68</v>
      </c>
      <c r="C65" s="10">
        <v>6.5</v>
      </c>
      <c r="D65" s="15"/>
      <c r="E65" s="10" t="s">
        <v>14</v>
      </c>
      <c r="F65" s="10">
        <v>1.0</v>
      </c>
      <c r="G65" s="11">
        <f t="shared" si="1"/>
        <v>6.5</v>
      </c>
      <c r="H65" s="10" t="s">
        <v>87</v>
      </c>
      <c r="J65" s="16"/>
      <c r="K65" s="14"/>
      <c r="L65" s="15" t="b">
        <v>0</v>
      </c>
    </row>
    <row r="66" ht="15.75" customHeight="1">
      <c r="A66" s="10" t="s">
        <v>88</v>
      </c>
      <c r="B66" s="10" t="s">
        <v>89</v>
      </c>
      <c r="D66" s="10" t="s">
        <v>13</v>
      </c>
      <c r="E66" s="10" t="s">
        <v>90</v>
      </c>
      <c r="F66" s="10">
        <v>1.0</v>
      </c>
      <c r="G66" s="11">
        <f t="shared" si="1"/>
        <v>0</v>
      </c>
      <c r="H66" s="10" t="s">
        <v>91</v>
      </c>
      <c r="J66" s="16"/>
      <c r="K66" s="14"/>
      <c r="L66" s="15" t="b">
        <v>0</v>
      </c>
    </row>
    <row r="67" ht="15.75" customHeight="1">
      <c r="A67" s="15" t="s">
        <v>92</v>
      </c>
      <c r="B67" s="10" t="s">
        <v>93</v>
      </c>
      <c r="C67" s="10">
        <v>5.59</v>
      </c>
      <c r="D67" s="15"/>
      <c r="E67" s="10" t="s">
        <v>14</v>
      </c>
      <c r="F67" s="10">
        <v>2.0</v>
      </c>
      <c r="G67" s="11">
        <f t="shared" si="1"/>
        <v>2.795</v>
      </c>
      <c r="H67" s="10" t="s">
        <v>27</v>
      </c>
      <c r="I67" s="17">
        <v>7.0076371011289E13</v>
      </c>
      <c r="J67" s="16"/>
      <c r="K67" s="14"/>
      <c r="L67" s="15" t="b">
        <v>0</v>
      </c>
    </row>
    <row r="68" ht="15.75" customHeight="1">
      <c r="A68" s="15" t="s">
        <v>94</v>
      </c>
      <c r="B68" s="10" t="s">
        <v>95</v>
      </c>
      <c r="C68" s="10">
        <v>7.0</v>
      </c>
      <c r="D68" s="15"/>
      <c r="E68" s="10" t="s">
        <v>14</v>
      </c>
      <c r="F68" s="10">
        <v>6.0</v>
      </c>
      <c r="G68" s="11">
        <f t="shared" si="1"/>
        <v>1.166666667</v>
      </c>
      <c r="H68" s="10" t="s">
        <v>15</v>
      </c>
      <c r="I68" s="12">
        <v>7.6069501473E10</v>
      </c>
      <c r="J68" s="16"/>
      <c r="K68" s="14"/>
      <c r="L68" s="15" t="b">
        <v>0</v>
      </c>
    </row>
    <row r="69" ht="15.75" customHeight="1">
      <c r="A69" s="10" t="s">
        <v>96</v>
      </c>
      <c r="B69" s="10" t="s">
        <v>89</v>
      </c>
      <c r="C69" s="10">
        <v>1.29</v>
      </c>
      <c r="D69" s="10" t="s">
        <v>13</v>
      </c>
      <c r="E69" s="10" t="s">
        <v>14</v>
      </c>
      <c r="F69" s="10">
        <v>12.39</v>
      </c>
      <c r="G69" s="11">
        <f t="shared" si="1"/>
        <v>0.1041162228</v>
      </c>
      <c r="H69" s="10" t="s">
        <v>27</v>
      </c>
      <c r="J69" s="16"/>
      <c r="K69" s="14"/>
      <c r="L69" s="15" t="b">
        <v>0</v>
      </c>
    </row>
    <row r="70" ht="15.75" customHeight="1">
      <c r="A70" s="10" t="s">
        <v>97</v>
      </c>
      <c r="B70" s="10" t="s">
        <v>89</v>
      </c>
      <c r="C70" s="10">
        <v>17.42</v>
      </c>
      <c r="D70" s="10" t="s">
        <v>13</v>
      </c>
      <c r="E70" s="10" t="s">
        <v>14</v>
      </c>
      <c r="F70" s="10">
        <v>25.0</v>
      </c>
      <c r="G70" s="11">
        <f t="shared" si="1"/>
        <v>0.6968</v>
      </c>
      <c r="H70" s="10" t="s">
        <v>15</v>
      </c>
      <c r="I70" s="12">
        <v>7.6069503347E10</v>
      </c>
      <c r="J70" s="16"/>
      <c r="K70" s="14"/>
      <c r="L70" s="15" t="b">
        <v>0</v>
      </c>
    </row>
    <row r="71" ht="15.75" customHeight="1">
      <c r="A71" s="15" t="s">
        <v>98</v>
      </c>
      <c r="B71" s="10" t="s">
        <v>95</v>
      </c>
      <c r="C71" s="10">
        <v>33.0</v>
      </c>
      <c r="D71" s="10" t="s">
        <v>99</v>
      </c>
      <c r="E71" s="10" t="s">
        <v>100</v>
      </c>
      <c r="F71" s="10">
        <v>6.0</v>
      </c>
      <c r="G71" s="11">
        <f t="shared" si="1"/>
        <v>5.5</v>
      </c>
      <c r="H71" s="10" t="s">
        <v>15</v>
      </c>
      <c r="I71" s="12">
        <v>7.6069501475E10</v>
      </c>
      <c r="J71" s="16"/>
      <c r="K71" s="14"/>
      <c r="L71" s="15" t="b">
        <v>0</v>
      </c>
    </row>
    <row r="72" ht="15.75" customHeight="1">
      <c r="A72" s="15" t="s">
        <v>101</v>
      </c>
      <c r="B72" s="10" t="s">
        <v>95</v>
      </c>
      <c r="C72" s="10">
        <v>34.59</v>
      </c>
      <c r="D72" s="10" t="s">
        <v>99</v>
      </c>
      <c r="E72" s="10" t="s">
        <v>100</v>
      </c>
      <c r="F72" s="10">
        <v>6.0</v>
      </c>
      <c r="G72" s="11">
        <f t="shared" si="1"/>
        <v>5.765</v>
      </c>
      <c r="H72" s="10" t="s">
        <v>15</v>
      </c>
      <c r="I72" s="12">
        <v>7.6069501474E10</v>
      </c>
      <c r="J72" s="16"/>
      <c r="K72" s="14"/>
      <c r="L72" s="15" t="b">
        <v>0</v>
      </c>
    </row>
    <row r="73" ht="15.75" customHeight="1">
      <c r="A73" s="15" t="s">
        <v>102</v>
      </c>
      <c r="B73" s="10" t="s">
        <v>95</v>
      </c>
      <c r="C73" s="10">
        <v>29.33</v>
      </c>
      <c r="D73" s="10" t="s">
        <v>99</v>
      </c>
      <c r="E73" s="10" t="s">
        <v>100</v>
      </c>
      <c r="F73" s="10">
        <v>6.0</v>
      </c>
      <c r="G73" s="11">
        <f t="shared" si="1"/>
        <v>4.888333333</v>
      </c>
      <c r="H73" s="10" t="s">
        <v>15</v>
      </c>
      <c r="I73" s="12">
        <v>7.6069501483E10</v>
      </c>
      <c r="J73" s="16"/>
      <c r="K73" s="14"/>
      <c r="L73" s="15" t="b">
        <v>0</v>
      </c>
    </row>
    <row r="74" ht="15.75" customHeight="1">
      <c r="A74" s="10" t="s">
        <v>103</v>
      </c>
      <c r="B74" s="10" t="s">
        <v>95</v>
      </c>
      <c r="C74" s="10">
        <v>26.75</v>
      </c>
      <c r="D74" s="10" t="s">
        <v>99</v>
      </c>
      <c r="E74" s="10" t="s">
        <v>100</v>
      </c>
      <c r="F74" s="10">
        <v>6.0</v>
      </c>
      <c r="G74" s="11">
        <f t="shared" si="1"/>
        <v>4.458333333</v>
      </c>
      <c r="H74" s="10" t="s">
        <v>104</v>
      </c>
      <c r="I74" s="12">
        <v>7.6069501473E10</v>
      </c>
      <c r="J74" s="16"/>
      <c r="K74" s="14"/>
      <c r="L74" s="15" t="b">
        <v>0</v>
      </c>
    </row>
    <row r="75" ht="15.75" customHeight="1">
      <c r="A75" s="10" t="s">
        <v>105</v>
      </c>
      <c r="B75" s="10" t="s">
        <v>95</v>
      </c>
      <c r="C75" s="10">
        <v>36.48</v>
      </c>
      <c r="D75" s="10" t="s">
        <v>99</v>
      </c>
      <c r="E75" s="10" t="s">
        <v>100</v>
      </c>
      <c r="F75" s="10">
        <v>6.0</v>
      </c>
      <c r="G75" s="11">
        <f t="shared" si="1"/>
        <v>6.08</v>
      </c>
      <c r="H75" s="10" t="s">
        <v>15</v>
      </c>
      <c r="I75" s="12">
        <v>7.6069501476E10</v>
      </c>
      <c r="J75" s="16"/>
      <c r="K75" s="14"/>
      <c r="L75" s="15" t="b">
        <v>0</v>
      </c>
    </row>
    <row r="76" ht="15.75" customHeight="1">
      <c r="A76" s="15" t="s">
        <v>106</v>
      </c>
      <c r="B76" s="10" t="s">
        <v>107</v>
      </c>
      <c r="C76" s="10">
        <v>15.0</v>
      </c>
      <c r="D76" s="10" t="s">
        <v>108</v>
      </c>
      <c r="E76" s="10" t="s">
        <v>109</v>
      </c>
      <c r="F76" s="10">
        <v>1.0</v>
      </c>
      <c r="G76" s="11">
        <f t="shared" si="1"/>
        <v>15</v>
      </c>
      <c r="H76" s="10" t="s">
        <v>41</v>
      </c>
      <c r="J76" s="16"/>
      <c r="K76" s="14"/>
      <c r="L76" s="15" t="b">
        <v>0</v>
      </c>
    </row>
    <row r="77" ht="15.75" customHeight="1">
      <c r="A77" s="10" t="s">
        <v>110</v>
      </c>
      <c r="B77" s="10" t="s">
        <v>107</v>
      </c>
      <c r="C77" s="10">
        <v>17.08</v>
      </c>
      <c r="D77" s="10" t="s">
        <v>108</v>
      </c>
      <c r="E77" s="10" t="s">
        <v>109</v>
      </c>
      <c r="F77" s="10">
        <v>4.0</v>
      </c>
      <c r="G77" s="11">
        <f t="shared" si="1"/>
        <v>4.27</v>
      </c>
      <c r="H77" s="10" t="s">
        <v>15</v>
      </c>
      <c r="I77" s="12">
        <v>7.6069501436E10</v>
      </c>
      <c r="J77" s="16"/>
      <c r="K77" s="14"/>
      <c r="L77" s="15" t="b">
        <v>0</v>
      </c>
    </row>
    <row r="78" ht="15.75" customHeight="1">
      <c r="A78" s="10" t="s">
        <v>111</v>
      </c>
      <c r="B78" s="10" t="s">
        <v>107</v>
      </c>
      <c r="C78" s="10">
        <v>33.2</v>
      </c>
      <c r="D78" s="10" t="s">
        <v>108</v>
      </c>
      <c r="E78" s="10" t="s">
        <v>109</v>
      </c>
      <c r="F78" s="10">
        <v>4.0</v>
      </c>
      <c r="G78" s="11">
        <f t="shared" si="1"/>
        <v>8.3</v>
      </c>
      <c r="H78" s="10" t="s">
        <v>15</v>
      </c>
      <c r="I78" s="12">
        <v>7.6069501437E10</v>
      </c>
      <c r="J78" s="16"/>
      <c r="K78" s="14"/>
      <c r="L78" s="15" t="b">
        <v>0</v>
      </c>
    </row>
    <row r="79" ht="15.75" customHeight="1">
      <c r="A79" s="10" t="s">
        <v>112</v>
      </c>
      <c r="B79" s="10" t="s">
        <v>107</v>
      </c>
      <c r="C79" s="10">
        <v>36.09</v>
      </c>
      <c r="D79" s="10" t="s">
        <v>108</v>
      </c>
      <c r="E79" s="10" t="s">
        <v>109</v>
      </c>
      <c r="F79" s="10">
        <v>4.0</v>
      </c>
      <c r="G79" s="11">
        <f t="shared" si="1"/>
        <v>9.0225</v>
      </c>
      <c r="H79" s="10" t="s">
        <v>27</v>
      </c>
      <c r="I79" s="17">
        <v>1.0072412501007E13</v>
      </c>
      <c r="J79" s="16"/>
      <c r="K79" s="14"/>
      <c r="L79" s="15" t="b">
        <v>0</v>
      </c>
    </row>
    <row r="80" ht="15.75" customHeight="1">
      <c r="A80" s="15" t="s">
        <v>113</v>
      </c>
      <c r="B80" s="10" t="s">
        <v>107</v>
      </c>
      <c r="C80" s="10">
        <v>30.12</v>
      </c>
      <c r="D80" s="10" t="s">
        <v>108</v>
      </c>
      <c r="E80" s="10" t="s">
        <v>109</v>
      </c>
      <c r="F80" s="10">
        <v>4.0</v>
      </c>
      <c r="G80" s="11">
        <f t="shared" si="1"/>
        <v>7.53</v>
      </c>
      <c r="H80" s="10" t="s">
        <v>15</v>
      </c>
      <c r="I80" s="12">
        <v>7.6069501439E10</v>
      </c>
      <c r="J80" s="16"/>
      <c r="K80" s="14"/>
      <c r="L80" s="15" t="b">
        <v>0</v>
      </c>
    </row>
    <row r="81" ht="15.75" customHeight="1">
      <c r="A81" s="10" t="s">
        <v>114</v>
      </c>
      <c r="B81" s="10" t="s">
        <v>107</v>
      </c>
      <c r="C81" s="10">
        <v>31.99</v>
      </c>
      <c r="D81" s="10" t="s">
        <v>108</v>
      </c>
      <c r="E81" s="10" t="s">
        <v>115</v>
      </c>
      <c r="F81" s="10">
        <v>10.0</v>
      </c>
      <c r="G81" s="11">
        <f t="shared" si="1"/>
        <v>3.199</v>
      </c>
      <c r="H81" s="10" t="s">
        <v>15</v>
      </c>
      <c r="I81" s="12">
        <v>7.6069500274E10</v>
      </c>
      <c r="J81" s="16"/>
      <c r="K81" s="14"/>
      <c r="L81" s="15" t="b">
        <v>0</v>
      </c>
    </row>
    <row r="82" ht="15.75" customHeight="1">
      <c r="A82" s="10" t="s">
        <v>116</v>
      </c>
      <c r="B82" s="10" t="s">
        <v>107</v>
      </c>
      <c r="C82" s="10">
        <v>35.28</v>
      </c>
      <c r="D82" s="10" t="s">
        <v>108</v>
      </c>
      <c r="E82" s="10" t="s">
        <v>109</v>
      </c>
      <c r="F82" s="10">
        <v>4.0</v>
      </c>
      <c r="G82" s="11">
        <f t="shared" si="1"/>
        <v>8.82</v>
      </c>
      <c r="H82" s="10" t="s">
        <v>15</v>
      </c>
      <c r="I82" s="12">
        <v>7.6069501896E10</v>
      </c>
      <c r="J82" s="16"/>
      <c r="K82" s="14"/>
      <c r="L82" s="15" t="b">
        <v>0</v>
      </c>
    </row>
    <row r="83" ht="15.75" customHeight="1">
      <c r="A83" s="10" t="s">
        <v>117</v>
      </c>
      <c r="B83" s="10" t="s">
        <v>107</v>
      </c>
      <c r="C83" s="10">
        <v>47.48</v>
      </c>
      <c r="D83" s="10" t="s">
        <v>108</v>
      </c>
      <c r="E83" s="10" t="s">
        <v>109</v>
      </c>
      <c r="F83" s="10">
        <v>4.0</v>
      </c>
      <c r="G83" s="11">
        <f t="shared" si="1"/>
        <v>11.87</v>
      </c>
      <c r="H83" s="10" t="s">
        <v>15</v>
      </c>
      <c r="I83" s="12">
        <v>7.6069501893E10</v>
      </c>
      <c r="J83" s="16"/>
      <c r="K83" s="14"/>
      <c r="L83" s="15" t="b">
        <v>0</v>
      </c>
    </row>
    <row r="84" ht="15.75" customHeight="1">
      <c r="A84" s="15" t="s">
        <v>118</v>
      </c>
      <c r="B84" s="10" t="s">
        <v>119</v>
      </c>
      <c r="C84" s="10">
        <v>0.45</v>
      </c>
      <c r="D84" s="15"/>
      <c r="E84" s="10" t="s">
        <v>82</v>
      </c>
      <c r="F84" s="10">
        <v>1.0</v>
      </c>
      <c r="G84" s="11">
        <f t="shared" si="1"/>
        <v>0.45</v>
      </c>
      <c r="H84" s="10" t="s">
        <v>27</v>
      </c>
      <c r="J84" s="16"/>
      <c r="K84" s="14"/>
      <c r="L84" s="15" t="b">
        <v>0</v>
      </c>
    </row>
    <row r="85" ht="15.75" customHeight="1">
      <c r="A85" s="10" t="s">
        <v>120</v>
      </c>
      <c r="B85" s="10" t="s">
        <v>107</v>
      </c>
      <c r="C85" s="10">
        <v>24.88</v>
      </c>
      <c r="D85" s="10" t="s">
        <v>108</v>
      </c>
      <c r="E85" s="10" t="s">
        <v>109</v>
      </c>
      <c r="F85" s="10">
        <v>4.0</v>
      </c>
      <c r="G85" s="11">
        <f t="shared" si="1"/>
        <v>6.22</v>
      </c>
      <c r="H85" s="10" t="s">
        <v>15</v>
      </c>
      <c r="I85" s="12">
        <v>7.6069500609E10</v>
      </c>
      <c r="J85" s="16"/>
      <c r="K85" s="14"/>
      <c r="L85" s="15" t="b">
        <v>0</v>
      </c>
    </row>
    <row r="86" ht="15.75" customHeight="1">
      <c r="A86" s="10" t="s">
        <v>121</v>
      </c>
      <c r="B86" s="10" t="s">
        <v>107</v>
      </c>
      <c r="C86" s="10">
        <v>29.74</v>
      </c>
      <c r="D86" s="10" t="s">
        <v>108</v>
      </c>
      <c r="E86" s="10" t="s">
        <v>109</v>
      </c>
      <c r="F86" s="10">
        <v>4.0</v>
      </c>
      <c r="G86" s="11">
        <f t="shared" si="1"/>
        <v>7.435</v>
      </c>
      <c r="H86" s="10" t="s">
        <v>15</v>
      </c>
      <c r="I86" s="12">
        <v>7.4243404471E10</v>
      </c>
      <c r="J86" s="16"/>
      <c r="K86" s="14"/>
      <c r="L86" s="15" t="b">
        <v>0</v>
      </c>
    </row>
    <row r="87" ht="15.75" customHeight="1">
      <c r="A87" s="10" t="s">
        <v>122</v>
      </c>
      <c r="B87" s="10" t="s">
        <v>95</v>
      </c>
      <c r="C87" s="10">
        <v>64.98</v>
      </c>
      <c r="D87" s="10" t="s">
        <v>99</v>
      </c>
      <c r="E87" s="10" t="s">
        <v>100</v>
      </c>
      <c r="F87" s="10">
        <v>6.0</v>
      </c>
      <c r="G87" s="11">
        <f t="shared" si="1"/>
        <v>10.83</v>
      </c>
      <c r="H87" s="10" t="s">
        <v>15</v>
      </c>
      <c r="I87" s="12">
        <v>9.43791013E9</v>
      </c>
      <c r="J87" s="16"/>
      <c r="K87" s="14"/>
      <c r="L87" s="15" t="b">
        <v>0</v>
      </c>
    </row>
    <row r="88" ht="15.75" customHeight="1">
      <c r="A88" s="10" t="s">
        <v>123</v>
      </c>
      <c r="B88" s="10" t="s">
        <v>107</v>
      </c>
      <c r="C88" s="10">
        <v>39.37</v>
      </c>
      <c r="D88" s="15"/>
      <c r="E88" s="10" t="s">
        <v>109</v>
      </c>
      <c r="F88" s="10">
        <v>4.0</v>
      </c>
      <c r="G88" s="11">
        <f t="shared" si="1"/>
        <v>9.8425</v>
      </c>
      <c r="H88" s="10" t="s">
        <v>15</v>
      </c>
      <c r="I88" s="12">
        <v>7.6069500302E10</v>
      </c>
      <c r="J88" s="16"/>
      <c r="K88" s="14"/>
      <c r="L88" s="15" t="b">
        <v>0</v>
      </c>
    </row>
    <row r="89" ht="15.75" customHeight="1">
      <c r="A89" s="10" t="s">
        <v>124</v>
      </c>
      <c r="B89" s="10" t="s">
        <v>107</v>
      </c>
      <c r="C89" s="10">
        <v>21.0</v>
      </c>
      <c r="D89" s="10" t="s">
        <v>13</v>
      </c>
      <c r="E89" s="10" t="s">
        <v>44</v>
      </c>
      <c r="F89" s="10">
        <v>28.0</v>
      </c>
      <c r="G89" s="11">
        <f t="shared" si="1"/>
        <v>0.75</v>
      </c>
      <c r="H89" s="10" t="s">
        <v>15</v>
      </c>
      <c r="I89" s="12">
        <v>7.6069502055E10</v>
      </c>
      <c r="J89" s="16"/>
      <c r="K89" s="14"/>
      <c r="L89" s="15" t="b">
        <v>0</v>
      </c>
    </row>
    <row r="90" ht="15.75" customHeight="1">
      <c r="A90" s="10" t="s">
        <v>125</v>
      </c>
      <c r="B90" s="10" t="s">
        <v>107</v>
      </c>
      <c r="C90" s="10">
        <v>64.64</v>
      </c>
      <c r="D90" s="10" t="s">
        <v>13</v>
      </c>
      <c r="E90" s="10" t="s">
        <v>14</v>
      </c>
      <c r="F90" s="10">
        <v>12.0</v>
      </c>
      <c r="G90" s="11">
        <f t="shared" si="1"/>
        <v>5.386666667</v>
      </c>
      <c r="H90" s="10" t="s">
        <v>15</v>
      </c>
      <c r="I90" s="12">
        <v>9.437902E9</v>
      </c>
      <c r="J90" s="16"/>
      <c r="K90" s="14"/>
      <c r="L90" s="15" t="b">
        <v>0</v>
      </c>
    </row>
    <row r="91" ht="15.75" customHeight="1">
      <c r="A91" s="10" t="s">
        <v>126</v>
      </c>
      <c r="B91" s="10" t="s">
        <v>107</v>
      </c>
      <c r="C91" s="10">
        <v>4.5</v>
      </c>
      <c r="D91" s="15"/>
      <c r="E91" s="10" t="s">
        <v>14</v>
      </c>
      <c r="F91" s="10">
        <v>1.0</v>
      </c>
      <c r="G91" s="11">
        <f t="shared" si="1"/>
        <v>4.5</v>
      </c>
      <c r="H91" s="10" t="s">
        <v>27</v>
      </c>
      <c r="J91" s="16"/>
      <c r="K91" s="14"/>
      <c r="L91" s="15" t="b">
        <v>0</v>
      </c>
    </row>
    <row r="92" ht="15.75" customHeight="1">
      <c r="A92" s="15" t="s">
        <v>127</v>
      </c>
      <c r="B92" s="10" t="s">
        <v>119</v>
      </c>
      <c r="C92" s="10">
        <v>223.04</v>
      </c>
      <c r="D92" s="10" t="s">
        <v>43</v>
      </c>
      <c r="E92" s="10" t="s">
        <v>14</v>
      </c>
      <c r="F92" s="10">
        <v>35.2</v>
      </c>
      <c r="G92" s="11">
        <f t="shared" si="1"/>
        <v>6.336363636</v>
      </c>
      <c r="H92" s="10" t="s">
        <v>27</v>
      </c>
      <c r="I92" s="12">
        <v>2.060042579E9</v>
      </c>
      <c r="J92" s="16"/>
      <c r="K92" s="14"/>
      <c r="L92" s="15" t="b">
        <v>0</v>
      </c>
    </row>
    <row r="93" ht="15.75" customHeight="1">
      <c r="A93" s="15" t="s">
        <v>128</v>
      </c>
      <c r="B93" s="10" t="s">
        <v>119</v>
      </c>
      <c r="C93" s="10">
        <v>26.61</v>
      </c>
      <c r="D93" s="10" t="s">
        <v>13</v>
      </c>
      <c r="E93" s="10" t="s">
        <v>14</v>
      </c>
      <c r="F93" s="10">
        <v>24.0</v>
      </c>
      <c r="G93" s="11">
        <f t="shared" si="1"/>
        <v>1.10875</v>
      </c>
      <c r="H93" s="10" t="s">
        <v>15</v>
      </c>
      <c r="I93" s="12">
        <v>2.060072993E9</v>
      </c>
      <c r="J93" s="16"/>
      <c r="K93" s="14"/>
      <c r="L93" s="15" t="b">
        <v>0</v>
      </c>
    </row>
    <row r="94" ht="15.75" customHeight="1">
      <c r="A94" s="15" t="s">
        <v>129</v>
      </c>
      <c r="B94" s="10" t="s">
        <v>107</v>
      </c>
      <c r="C94" s="10">
        <v>9.25</v>
      </c>
      <c r="D94" s="15"/>
      <c r="E94" s="10" t="s">
        <v>14</v>
      </c>
      <c r="F94" s="10">
        <v>1.0</v>
      </c>
      <c r="G94" s="11">
        <f t="shared" si="1"/>
        <v>9.25</v>
      </c>
      <c r="H94" s="10" t="s">
        <v>27</v>
      </c>
      <c r="J94" s="16"/>
      <c r="K94" s="14"/>
      <c r="L94" s="15" t="b">
        <v>0</v>
      </c>
    </row>
    <row r="95" ht="15.75" customHeight="1">
      <c r="A95" s="15" t="s">
        <v>130</v>
      </c>
      <c r="B95" s="15"/>
      <c r="D95" s="15"/>
      <c r="E95" s="10" t="s">
        <v>14</v>
      </c>
      <c r="G95" s="11" t="str">
        <f t="shared" si="1"/>
        <v>#DIV/0!</v>
      </c>
      <c r="H95" s="10" t="s">
        <v>91</v>
      </c>
      <c r="J95" s="16"/>
      <c r="K95" s="14"/>
      <c r="L95" s="15" t="b">
        <v>0</v>
      </c>
    </row>
    <row r="96" ht="15.75" customHeight="1">
      <c r="A96" s="15" t="s">
        <v>131</v>
      </c>
      <c r="B96" s="10" t="s">
        <v>119</v>
      </c>
      <c r="C96" s="10">
        <v>5.78</v>
      </c>
      <c r="D96" s="10" t="s">
        <v>13</v>
      </c>
      <c r="E96" s="10" t="s">
        <v>14</v>
      </c>
      <c r="F96" s="10">
        <v>1.0</v>
      </c>
      <c r="G96" s="11">
        <f t="shared" si="1"/>
        <v>5.78</v>
      </c>
      <c r="H96" s="10" t="s">
        <v>15</v>
      </c>
      <c r="I96" s="12">
        <v>8.5434200401E10</v>
      </c>
      <c r="J96" s="16"/>
      <c r="K96" s="14"/>
      <c r="L96" s="15" t="b">
        <v>0</v>
      </c>
    </row>
    <row r="97" ht="15.75" customHeight="1">
      <c r="A97" s="10" t="s">
        <v>132</v>
      </c>
      <c r="B97" s="10" t="s">
        <v>119</v>
      </c>
      <c r="C97" s="10">
        <v>43.47</v>
      </c>
      <c r="D97" s="10" t="s">
        <v>13</v>
      </c>
      <c r="E97" s="10" t="s">
        <v>14</v>
      </c>
      <c r="F97" s="10">
        <v>15.0</v>
      </c>
      <c r="G97" s="11">
        <f t="shared" si="1"/>
        <v>2.898</v>
      </c>
      <c r="H97" s="10" t="s">
        <v>15</v>
      </c>
      <c r="I97" s="12">
        <v>2.060042714E9</v>
      </c>
      <c r="J97" s="16"/>
      <c r="K97" s="14"/>
      <c r="L97" s="15" t="b">
        <v>0</v>
      </c>
    </row>
    <row r="98" ht="15.75" customHeight="1">
      <c r="A98" s="10" t="s">
        <v>133</v>
      </c>
      <c r="B98" s="10" t="s">
        <v>95</v>
      </c>
      <c r="C98" s="10">
        <v>43.71</v>
      </c>
      <c r="D98" s="10" t="s">
        <v>43</v>
      </c>
      <c r="E98" s="10" t="s">
        <v>100</v>
      </c>
      <c r="F98" s="10">
        <v>6.0</v>
      </c>
      <c r="G98" s="11">
        <f t="shared" si="1"/>
        <v>7.285</v>
      </c>
      <c r="H98" s="10" t="s">
        <v>15</v>
      </c>
      <c r="I98" s="12">
        <v>7.127030494E9</v>
      </c>
      <c r="J98" s="16"/>
      <c r="K98" s="14"/>
      <c r="L98" s="15" t="b">
        <v>0</v>
      </c>
    </row>
    <row r="99" ht="15.75" customHeight="1">
      <c r="A99" s="10" t="s">
        <v>134</v>
      </c>
      <c r="B99" s="10" t="s">
        <v>119</v>
      </c>
      <c r="C99" s="10">
        <v>6.19</v>
      </c>
      <c r="D99" s="15"/>
      <c r="E99" s="10" t="s">
        <v>14</v>
      </c>
      <c r="F99" s="10">
        <v>1.0</v>
      </c>
      <c r="G99" s="11">
        <f t="shared" si="1"/>
        <v>6.19</v>
      </c>
      <c r="H99" s="10" t="s">
        <v>27</v>
      </c>
      <c r="J99" s="16"/>
      <c r="K99" s="14"/>
      <c r="L99" s="15" t="b">
        <v>0</v>
      </c>
    </row>
    <row r="100" ht="15.75" customHeight="1">
      <c r="A100" s="10" t="s">
        <v>135</v>
      </c>
      <c r="B100" s="10" t="s">
        <v>136</v>
      </c>
      <c r="C100" s="10">
        <v>26.79</v>
      </c>
      <c r="D100" s="15"/>
      <c r="E100" s="10" t="s">
        <v>14</v>
      </c>
      <c r="F100" s="10">
        <v>1.0</v>
      </c>
      <c r="G100" s="11">
        <f t="shared" si="1"/>
        <v>26.79</v>
      </c>
      <c r="H100" s="10" t="s">
        <v>27</v>
      </c>
      <c r="J100" s="16"/>
      <c r="K100" s="14"/>
      <c r="L100" s="15" t="b">
        <v>0</v>
      </c>
    </row>
    <row r="101" ht="15.75" customHeight="1">
      <c r="A101" s="10" t="s">
        <v>137</v>
      </c>
      <c r="B101" s="10" t="s">
        <v>136</v>
      </c>
      <c r="C101" s="10">
        <v>23.39</v>
      </c>
      <c r="D101" s="15"/>
      <c r="E101" s="10" t="s">
        <v>14</v>
      </c>
      <c r="F101" s="10">
        <v>1.0</v>
      </c>
      <c r="G101" s="11">
        <f t="shared" si="1"/>
        <v>23.39</v>
      </c>
      <c r="H101" s="10" t="s">
        <v>27</v>
      </c>
      <c r="J101" s="16"/>
      <c r="K101" s="14"/>
      <c r="L101" s="15" t="b">
        <v>0</v>
      </c>
    </row>
    <row r="102" ht="15.75" customHeight="1">
      <c r="A102" s="15" t="s">
        <v>138</v>
      </c>
      <c r="B102" s="10" t="s">
        <v>107</v>
      </c>
      <c r="C102" s="10">
        <v>3.5</v>
      </c>
      <c r="D102" s="15"/>
      <c r="E102" s="10" t="s">
        <v>14</v>
      </c>
      <c r="F102" s="10">
        <v>1.0</v>
      </c>
      <c r="G102" s="11">
        <f t="shared" si="1"/>
        <v>3.5</v>
      </c>
      <c r="H102" s="10" t="s">
        <v>27</v>
      </c>
      <c r="J102" s="16"/>
      <c r="K102" s="14"/>
      <c r="L102" s="15" t="b">
        <v>0</v>
      </c>
    </row>
    <row r="103" ht="15.75" customHeight="1">
      <c r="A103" s="10" t="s">
        <v>139</v>
      </c>
      <c r="B103" s="10" t="s">
        <v>119</v>
      </c>
      <c r="C103" s="10">
        <v>15.74</v>
      </c>
      <c r="D103" s="10" t="s">
        <v>108</v>
      </c>
      <c r="E103" s="10" t="s">
        <v>109</v>
      </c>
      <c r="F103" s="10">
        <v>1.0</v>
      </c>
      <c r="G103" s="11">
        <f t="shared" si="1"/>
        <v>15.74</v>
      </c>
      <c r="H103" s="10" t="s">
        <v>15</v>
      </c>
      <c r="I103" s="12">
        <v>2.060044146E9</v>
      </c>
      <c r="J103" s="16"/>
      <c r="K103" s="14"/>
      <c r="L103" s="15" t="b">
        <v>0</v>
      </c>
    </row>
    <row r="104" ht="15.75" customHeight="1">
      <c r="A104" s="15" t="s">
        <v>140</v>
      </c>
      <c r="B104" s="10" t="s">
        <v>89</v>
      </c>
      <c r="C104" s="10">
        <v>1.5</v>
      </c>
      <c r="D104" s="15"/>
      <c r="E104" s="10" t="s">
        <v>14</v>
      </c>
      <c r="F104" s="10">
        <v>1.0</v>
      </c>
      <c r="G104" s="11">
        <f t="shared" si="1"/>
        <v>1.5</v>
      </c>
      <c r="H104" s="10" t="s">
        <v>27</v>
      </c>
      <c r="J104" s="16"/>
      <c r="K104" s="14"/>
      <c r="L104" s="15" t="b">
        <v>0</v>
      </c>
    </row>
    <row r="105" ht="15.75" customHeight="1">
      <c r="A105" s="15" t="s">
        <v>141</v>
      </c>
      <c r="B105" s="10" t="s">
        <v>12</v>
      </c>
      <c r="C105" s="10">
        <v>1.25</v>
      </c>
      <c r="D105" s="15"/>
      <c r="E105" s="10" t="s">
        <v>82</v>
      </c>
      <c r="F105" s="10">
        <v>1.0</v>
      </c>
      <c r="G105" s="11">
        <f t="shared" si="1"/>
        <v>1.25</v>
      </c>
      <c r="H105" s="10" t="s">
        <v>27</v>
      </c>
      <c r="J105" s="16"/>
      <c r="K105" s="14"/>
      <c r="L105" s="15" t="b">
        <v>0</v>
      </c>
    </row>
    <row r="106" ht="15.75" customHeight="1">
      <c r="A106" s="10" t="s">
        <v>142</v>
      </c>
      <c r="B106" s="10" t="s">
        <v>12</v>
      </c>
      <c r="C106" s="10">
        <v>1.35</v>
      </c>
      <c r="D106" s="15"/>
      <c r="E106" s="10" t="s">
        <v>82</v>
      </c>
      <c r="F106" s="10">
        <v>1.0</v>
      </c>
      <c r="G106" s="11">
        <f t="shared" si="1"/>
        <v>1.35</v>
      </c>
      <c r="H106" s="10" t="s">
        <v>27</v>
      </c>
      <c r="J106" s="16"/>
      <c r="K106" s="14"/>
      <c r="L106" s="15" t="b">
        <v>0</v>
      </c>
    </row>
    <row r="107" ht="15.75" customHeight="1">
      <c r="A107" s="10" t="s">
        <v>143</v>
      </c>
      <c r="B107" s="10" t="s">
        <v>12</v>
      </c>
      <c r="C107" s="10">
        <v>1.08</v>
      </c>
      <c r="D107" s="15"/>
      <c r="E107" s="10" t="s">
        <v>82</v>
      </c>
      <c r="F107" s="10">
        <v>1.0</v>
      </c>
      <c r="G107" s="11">
        <f t="shared" si="1"/>
        <v>1.08</v>
      </c>
      <c r="H107" s="10" t="s">
        <v>27</v>
      </c>
      <c r="J107" s="16"/>
      <c r="K107" s="14"/>
      <c r="L107" s="15" t="b">
        <v>0</v>
      </c>
    </row>
    <row r="108" ht="15.75" customHeight="1">
      <c r="A108" s="10" t="s">
        <v>144</v>
      </c>
      <c r="B108" s="10" t="s">
        <v>145</v>
      </c>
      <c r="C108" s="10">
        <v>0.26</v>
      </c>
      <c r="D108" s="10" t="s">
        <v>99</v>
      </c>
      <c r="E108" s="10" t="s">
        <v>82</v>
      </c>
      <c r="F108" s="10">
        <v>24.0</v>
      </c>
      <c r="G108" s="11">
        <f>C108*F108</f>
        <v>6.24</v>
      </c>
      <c r="H108" s="10" t="s">
        <v>15</v>
      </c>
      <c r="I108" s="12">
        <v>7.34350023E9</v>
      </c>
      <c r="J108" s="16"/>
      <c r="K108" s="14"/>
      <c r="L108" s="15" t="b">
        <v>0</v>
      </c>
    </row>
    <row r="109" ht="15.75" customHeight="1">
      <c r="A109" s="10" t="s">
        <v>146</v>
      </c>
      <c r="B109" s="10" t="s">
        <v>136</v>
      </c>
      <c r="C109" s="10">
        <v>23.2</v>
      </c>
      <c r="D109" s="10" t="s">
        <v>13</v>
      </c>
      <c r="E109" s="10" t="s">
        <v>14</v>
      </c>
      <c r="F109" s="10">
        <v>25.0</v>
      </c>
      <c r="G109" s="11">
        <f t="shared" ref="G109:G388" si="3">C109/F109</f>
        <v>0.928</v>
      </c>
      <c r="H109" s="10" t="s">
        <v>15</v>
      </c>
      <c r="I109" s="12">
        <v>1.580006221E9</v>
      </c>
      <c r="J109" s="16"/>
      <c r="K109" s="14"/>
      <c r="L109" s="15" t="b">
        <v>0</v>
      </c>
    </row>
    <row r="110" ht="15.75" customHeight="1">
      <c r="A110" s="15" t="s">
        <v>147</v>
      </c>
      <c r="B110" s="10" t="s">
        <v>119</v>
      </c>
      <c r="C110" s="10">
        <v>69.79</v>
      </c>
      <c r="D110" s="10" t="s">
        <v>13</v>
      </c>
      <c r="E110" s="10" t="s">
        <v>14</v>
      </c>
      <c r="F110" s="10">
        <v>25.0</v>
      </c>
      <c r="G110" s="11">
        <f t="shared" si="3"/>
        <v>2.7916</v>
      </c>
      <c r="H110" s="10" t="s">
        <v>15</v>
      </c>
      <c r="I110" s="12">
        <v>5.286711735E9</v>
      </c>
      <c r="J110" s="16"/>
      <c r="K110" s="14"/>
      <c r="L110" s="15" t="b">
        <v>0</v>
      </c>
    </row>
    <row r="111" ht="15.75" customHeight="1">
      <c r="A111" s="15" t="s">
        <v>148</v>
      </c>
      <c r="B111" s="10" t="s">
        <v>93</v>
      </c>
      <c r="C111" s="10">
        <v>79.71</v>
      </c>
      <c r="D111" s="10" t="s">
        <v>13</v>
      </c>
      <c r="E111" s="10" t="s">
        <v>14</v>
      </c>
      <c r="F111" s="10">
        <v>30.0</v>
      </c>
      <c r="G111" s="11">
        <f t="shared" si="3"/>
        <v>2.657</v>
      </c>
      <c r="H111" s="10" t="s">
        <v>15</v>
      </c>
      <c r="I111" s="12">
        <v>7.6069501053E10</v>
      </c>
      <c r="J111" s="16"/>
      <c r="K111" s="14"/>
      <c r="L111" s="15" t="b">
        <v>0</v>
      </c>
    </row>
    <row r="112" ht="15.75" customHeight="1">
      <c r="A112" s="15" t="s">
        <v>149</v>
      </c>
      <c r="B112" s="10" t="s">
        <v>107</v>
      </c>
      <c r="C112" s="10">
        <v>8.38</v>
      </c>
      <c r="D112" s="10" t="s">
        <v>13</v>
      </c>
      <c r="E112" s="10" t="s">
        <v>44</v>
      </c>
      <c r="F112" s="10">
        <v>32.0</v>
      </c>
      <c r="G112" s="11">
        <f t="shared" si="3"/>
        <v>0.261875</v>
      </c>
      <c r="H112" s="10" t="s">
        <v>15</v>
      </c>
      <c r="I112" s="12">
        <v>7.6069552718E10</v>
      </c>
      <c r="J112" s="16"/>
      <c r="K112" s="14"/>
      <c r="L112" s="15" t="b">
        <v>0</v>
      </c>
    </row>
    <row r="113" ht="15.75" customHeight="1">
      <c r="A113" s="10" t="s">
        <v>150</v>
      </c>
      <c r="B113" s="10" t="s">
        <v>151</v>
      </c>
      <c r="C113" s="10">
        <v>31.81</v>
      </c>
      <c r="D113" s="10" t="s">
        <v>13</v>
      </c>
      <c r="E113" s="10" t="s">
        <v>14</v>
      </c>
      <c r="F113" s="10">
        <v>7.9</v>
      </c>
      <c r="G113" s="11">
        <f t="shared" si="3"/>
        <v>4.026582278</v>
      </c>
      <c r="H113" s="10" t="s">
        <v>15</v>
      </c>
      <c r="I113" s="12">
        <v>7.6069502507E10</v>
      </c>
      <c r="J113" s="16"/>
      <c r="K113" s="14"/>
      <c r="L113" s="15" t="b">
        <v>0</v>
      </c>
    </row>
    <row r="114" ht="15.75" customHeight="1">
      <c r="A114" s="10" t="s">
        <v>152</v>
      </c>
      <c r="B114" s="10" t="s">
        <v>107</v>
      </c>
      <c r="C114" s="10">
        <v>15.0</v>
      </c>
      <c r="D114" s="10" t="s">
        <v>108</v>
      </c>
      <c r="E114" s="10" t="s">
        <v>109</v>
      </c>
      <c r="F114" s="10">
        <v>1.0</v>
      </c>
      <c r="G114" s="11">
        <f t="shared" si="3"/>
        <v>15</v>
      </c>
      <c r="H114" s="10" t="s">
        <v>41</v>
      </c>
      <c r="I114" s="12"/>
      <c r="J114" s="16"/>
      <c r="K114" s="14"/>
      <c r="L114" s="15" t="b">
        <v>0</v>
      </c>
    </row>
    <row r="115" ht="15.75" customHeight="1">
      <c r="A115" s="10" t="s">
        <v>153</v>
      </c>
      <c r="B115" s="10" t="s">
        <v>107</v>
      </c>
      <c r="C115" s="10">
        <v>15.0</v>
      </c>
      <c r="D115" s="10" t="s">
        <v>108</v>
      </c>
      <c r="E115" s="10" t="s">
        <v>109</v>
      </c>
      <c r="F115" s="10">
        <v>1.0</v>
      </c>
      <c r="G115" s="11">
        <f t="shared" si="3"/>
        <v>15</v>
      </c>
      <c r="H115" s="10" t="s">
        <v>41</v>
      </c>
      <c r="I115" s="12"/>
      <c r="J115" s="16"/>
      <c r="K115" s="14"/>
      <c r="L115" s="15" t="b">
        <v>0</v>
      </c>
    </row>
    <row r="116" ht="15.75" customHeight="1">
      <c r="A116" s="10" t="s">
        <v>106</v>
      </c>
      <c r="B116" s="10" t="s">
        <v>107</v>
      </c>
      <c r="C116" s="10">
        <v>12.0</v>
      </c>
      <c r="D116" s="10" t="s">
        <v>108</v>
      </c>
      <c r="E116" s="10" t="s">
        <v>109</v>
      </c>
      <c r="F116" s="10">
        <v>1.0</v>
      </c>
      <c r="G116" s="11">
        <f t="shared" si="3"/>
        <v>12</v>
      </c>
      <c r="H116" s="10" t="s">
        <v>41</v>
      </c>
      <c r="I116" s="12"/>
      <c r="J116" s="16"/>
      <c r="K116" s="14"/>
      <c r="L116" s="15" t="b">
        <v>0</v>
      </c>
    </row>
    <row r="117" ht="15.75" customHeight="1">
      <c r="A117" s="10" t="s">
        <v>154</v>
      </c>
      <c r="B117" s="10" t="s">
        <v>107</v>
      </c>
      <c r="C117" s="10">
        <v>13.73</v>
      </c>
      <c r="D117" s="10" t="s">
        <v>108</v>
      </c>
      <c r="E117" s="10" t="s">
        <v>109</v>
      </c>
      <c r="F117" s="10">
        <v>1.0</v>
      </c>
      <c r="G117" s="11">
        <f t="shared" si="3"/>
        <v>13.73</v>
      </c>
      <c r="H117" s="10" t="s">
        <v>15</v>
      </c>
      <c r="I117" s="12">
        <v>4.1500054E9</v>
      </c>
      <c r="J117" s="16"/>
      <c r="K117" s="14"/>
      <c r="L117" s="15" t="b">
        <v>0</v>
      </c>
    </row>
    <row r="118" ht="15.75" customHeight="1">
      <c r="A118" s="10" t="s">
        <v>155</v>
      </c>
      <c r="B118" s="10" t="s">
        <v>107</v>
      </c>
      <c r="C118" s="10">
        <v>10.87</v>
      </c>
      <c r="D118" s="10" t="s">
        <v>108</v>
      </c>
      <c r="E118" s="10" t="s">
        <v>109</v>
      </c>
      <c r="F118" s="10">
        <v>1.0</v>
      </c>
      <c r="G118" s="11">
        <f t="shared" si="3"/>
        <v>10.87</v>
      </c>
      <c r="H118" s="10" t="s">
        <v>15</v>
      </c>
      <c r="I118" s="12">
        <v>4.150080137E9</v>
      </c>
      <c r="J118" s="16"/>
      <c r="K118" s="14"/>
      <c r="L118" s="15" t="b">
        <v>0</v>
      </c>
    </row>
    <row r="119" ht="15.75" customHeight="1">
      <c r="A119" s="10" t="s">
        <v>156</v>
      </c>
      <c r="B119" s="10" t="s">
        <v>107</v>
      </c>
      <c r="C119" s="10">
        <v>10.89</v>
      </c>
      <c r="D119" s="10" t="s">
        <v>108</v>
      </c>
      <c r="E119" s="10" t="s">
        <v>109</v>
      </c>
      <c r="F119" s="10">
        <v>1.0</v>
      </c>
      <c r="G119" s="11">
        <f t="shared" si="3"/>
        <v>10.89</v>
      </c>
      <c r="H119" s="10" t="s">
        <v>15</v>
      </c>
      <c r="I119" s="12">
        <v>4.150005396E9</v>
      </c>
      <c r="J119" s="16"/>
      <c r="K119" s="14"/>
      <c r="L119" s="15" t="b">
        <v>0</v>
      </c>
    </row>
    <row r="120" ht="15.75" customHeight="1">
      <c r="A120" s="10" t="s">
        <v>157</v>
      </c>
      <c r="B120" s="10" t="s">
        <v>119</v>
      </c>
      <c r="C120" s="10">
        <v>13.05</v>
      </c>
      <c r="D120" s="10" t="s">
        <v>13</v>
      </c>
      <c r="E120" s="10" t="s">
        <v>14</v>
      </c>
      <c r="F120" s="10">
        <v>25.0</v>
      </c>
      <c r="G120" s="11">
        <f t="shared" si="3"/>
        <v>0.522</v>
      </c>
      <c r="H120" s="10" t="s">
        <v>15</v>
      </c>
      <c r="I120" s="12">
        <v>2.060059143E9</v>
      </c>
      <c r="J120" s="16"/>
      <c r="K120" s="14"/>
      <c r="L120" s="15" t="b">
        <v>0</v>
      </c>
    </row>
    <row r="121" ht="15.75" customHeight="1">
      <c r="A121" s="15" t="s">
        <v>158</v>
      </c>
      <c r="B121" s="10" t="s">
        <v>151</v>
      </c>
      <c r="C121" s="10">
        <v>17.07</v>
      </c>
      <c r="D121" s="10" t="s">
        <v>13</v>
      </c>
      <c r="E121" s="10" t="s">
        <v>14</v>
      </c>
      <c r="F121" s="10">
        <v>5.0</v>
      </c>
      <c r="G121" s="11">
        <f t="shared" si="3"/>
        <v>3.414</v>
      </c>
      <c r="H121" s="10" t="s">
        <v>15</v>
      </c>
      <c r="I121" s="12">
        <v>7.606950047E10</v>
      </c>
      <c r="J121" s="16"/>
      <c r="K121" s="14"/>
      <c r="L121" s="15" t="b">
        <v>0</v>
      </c>
    </row>
    <row r="122" ht="15.75" customHeight="1">
      <c r="A122" s="10" t="s">
        <v>159</v>
      </c>
      <c r="B122" s="10" t="s">
        <v>119</v>
      </c>
      <c r="C122" s="10">
        <v>6.31</v>
      </c>
      <c r="D122" s="10" t="s">
        <v>99</v>
      </c>
      <c r="E122" s="10" t="s">
        <v>82</v>
      </c>
      <c r="F122" s="10">
        <v>3.0</v>
      </c>
      <c r="G122" s="11">
        <f t="shared" si="3"/>
        <v>2.103333333</v>
      </c>
      <c r="H122" s="10" t="s">
        <v>15</v>
      </c>
      <c r="I122" s="12">
        <v>2.06004009E9</v>
      </c>
      <c r="J122" s="16"/>
      <c r="K122" s="14"/>
      <c r="L122" s="15" t="b">
        <v>0</v>
      </c>
    </row>
    <row r="123" ht="15.75" customHeight="1">
      <c r="A123" s="10" t="s">
        <v>160</v>
      </c>
      <c r="B123" s="10" t="s">
        <v>93</v>
      </c>
      <c r="C123" s="10">
        <v>13.06</v>
      </c>
      <c r="D123" s="10" t="s">
        <v>13</v>
      </c>
      <c r="E123" s="10" t="s">
        <v>14</v>
      </c>
      <c r="F123" s="10">
        <v>5.0</v>
      </c>
      <c r="G123" s="11">
        <f t="shared" si="3"/>
        <v>2.612</v>
      </c>
      <c r="H123" s="10" t="s">
        <v>15</v>
      </c>
      <c r="I123" s="12">
        <v>7.6069500871E10</v>
      </c>
      <c r="J123" s="16"/>
      <c r="K123" s="14"/>
      <c r="L123" s="15" t="b">
        <v>0</v>
      </c>
    </row>
    <row r="124" ht="15.75" customHeight="1">
      <c r="A124" s="10" t="s">
        <v>161</v>
      </c>
      <c r="B124" s="10" t="s">
        <v>119</v>
      </c>
      <c r="C124" s="10">
        <v>4.56</v>
      </c>
      <c r="D124" s="10" t="s">
        <v>13</v>
      </c>
      <c r="E124" s="10" t="s">
        <v>14</v>
      </c>
      <c r="F124" s="10">
        <v>2.0</v>
      </c>
      <c r="G124" s="11">
        <f t="shared" si="3"/>
        <v>2.28</v>
      </c>
      <c r="H124" s="10" t="s">
        <v>15</v>
      </c>
      <c r="I124" s="12">
        <v>2.06004068E9</v>
      </c>
      <c r="J124" s="16"/>
      <c r="K124" s="14"/>
      <c r="L124" s="15" t="b">
        <v>0</v>
      </c>
    </row>
    <row r="125" ht="15.75" customHeight="1">
      <c r="A125" s="10" t="s">
        <v>162</v>
      </c>
      <c r="B125" s="10" t="s">
        <v>119</v>
      </c>
      <c r="C125" s="10">
        <v>5.01</v>
      </c>
      <c r="D125" s="10" t="s">
        <v>13</v>
      </c>
      <c r="E125" s="10" t="s">
        <v>14</v>
      </c>
      <c r="F125" s="10">
        <v>2.0</v>
      </c>
      <c r="G125" s="11">
        <f t="shared" si="3"/>
        <v>2.505</v>
      </c>
      <c r="H125" s="10" t="s">
        <v>15</v>
      </c>
      <c r="I125" s="12">
        <v>2.060050162E9</v>
      </c>
      <c r="J125" s="16"/>
      <c r="K125" s="14"/>
      <c r="L125" s="15" t="b">
        <v>0</v>
      </c>
    </row>
    <row r="126" ht="15.75" customHeight="1">
      <c r="A126" s="10" t="s">
        <v>163</v>
      </c>
      <c r="B126" s="10" t="s">
        <v>95</v>
      </c>
      <c r="C126" s="10">
        <v>58.52</v>
      </c>
      <c r="D126" s="10" t="s">
        <v>13</v>
      </c>
      <c r="E126" s="10" t="s">
        <v>44</v>
      </c>
      <c r="F126" s="10">
        <v>312.0</v>
      </c>
      <c r="G126" s="11">
        <f t="shared" si="3"/>
        <v>0.1875641026</v>
      </c>
      <c r="H126" s="10" t="s">
        <v>15</v>
      </c>
      <c r="I126" s="12">
        <v>7.53860486E9</v>
      </c>
      <c r="J126" s="16"/>
      <c r="K126" s="14"/>
      <c r="L126" s="15" t="b">
        <v>0</v>
      </c>
    </row>
    <row r="127" ht="15.75" customHeight="1">
      <c r="A127" s="10" t="s">
        <v>164</v>
      </c>
      <c r="B127" s="10" t="s">
        <v>151</v>
      </c>
      <c r="C127" s="10">
        <v>32.47</v>
      </c>
      <c r="D127" s="10" t="s">
        <v>13</v>
      </c>
      <c r="E127" s="10" t="s">
        <v>14</v>
      </c>
      <c r="F127" s="10">
        <v>6.0</v>
      </c>
      <c r="G127" s="11">
        <f t="shared" si="3"/>
        <v>5.411666667</v>
      </c>
      <c r="H127" s="10" t="s">
        <v>15</v>
      </c>
      <c r="I127" s="12">
        <v>7.60695573E10</v>
      </c>
      <c r="J127" s="16"/>
      <c r="K127" s="14"/>
      <c r="L127" s="15" t="b">
        <v>0</v>
      </c>
    </row>
    <row r="128" ht="15.75" customHeight="1">
      <c r="A128" s="10" t="s">
        <v>165</v>
      </c>
      <c r="B128" s="10" t="s">
        <v>151</v>
      </c>
      <c r="C128" s="10">
        <v>19.21</v>
      </c>
      <c r="D128" s="10" t="s">
        <v>13</v>
      </c>
      <c r="E128" s="10" t="s">
        <v>14</v>
      </c>
      <c r="F128" s="10">
        <v>3.7</v>
      </c>
      <c r="G128" s="11">
        <f t="shared" si="3"/>
        <v>5.191891892</v>
      </c>
      <c r="H128" s="10" t="s">
        <v>15</v>
      </c>
      <c r="I128" s="12">
        <v>7.6069557531E10</v>
      </c>
      <c r="J128" s="16"/>
      <c r="K128" s="14"/>
      <c r="L128" s="15" t="b">
        <v>0</v>
      </c>
    </row>
    <row r="129" ht="15.75" customHeight="1">
      <c r="A129" s="15" t="s">
        <v>166</v>
      </c>
      <c r="B129" s="10" t="s">
        <v>119</v>
      </c>
      <c r="C129" s="10">
        <v>11.84</v>
      </c>
      <c r="D129" s="10" t="s">
        <v>13</v>
      </c>
      <c r="E129" s="10" t="s">
        <v>14</v>
      </c>
      <c r="F129" s="10">
        <v>1.0</v>
      </c>
      <c r="G129" s="11">
        <f t="shared" si="3"/>
        <v>11.84</v>
      </c>
      <c r="H129" s="10" t="s">
        <v>15</v>
      </c>
      <c r="I129" s="12">
        <v>7.5194400048E10</v>
      </c>
      <c r="J129" s="16"/>
      <c r="K129" s="14"/>
      <c r="L129" s="15" t="b">
        <v>0</v>
      </c>
    </row>
    <row r="130" ht="15.75" customHeight="1">
      <c r="A130" s="10" t="s">
        <v>167</v>
      </c>
      <c r="B130" s="10" t="s">
        <v>107</v>
      </c>
      <c r="C130" s="10">
        <v>31.82</v>
      </c>
      <c r="D130" s="10" t="s">
        <v>108</v>
      </c>
      <c r="E130" s="10" t="s">
        <v>109</v>
      </c>
      <c r="F130" s="10">
        <v>5.0</v>
      </c>
      <c r="G130" s="11">
        <f t="shared" si="3"/>
        <v>6.364</v>
      </c>
      <c r="H130" s="10" t="s">
        <v>15</v>
      </c>
      <c r="I130" s="12">
        <v>7.889580047E9</v>
      </c>
      <c r="J130" s="16"/>
      <c r="K130" s="14"/>
      <c r="L130" s="15" t="b">
        <v>0</v>
      </c>
    </row>
    <row r="131" ht="15.75" customHeight="1">
      <c r="A131" s="10" t="s">
        <v>168</v>
      </c>
      <c r="B131" s="10" t="s">
        <v>136</v>
      </c>
      <c r="C131" s="10">
        <v>12.43</v>
      </c>
      <c r="D131" s="10" t="s">
        <v>13</v>
      </c>
      <c r="E131" s="10" t="s">
        <v>44</v>
      </c>
      <c r="F131" s="10">
        <v>24.0</v>
      </c>
      <c r="G131" s="11">
        <f t="shared" si="3"/>
        <v>0.5179166667</v>
      </c>
      <c r="H131" s="10" t="s">
        <v>15</v>
      </c>
      <c r="I131" s="12">
        <v>4.150022006E9</v>
      </c>
      <c r="J131" s="16"/>
      <c r="K131" s="14"/>
      <c r="L131" s="15" t="b">
        <v>0</v>
      </c>
    </row>
    <row r="132" ht="15.75" customHeight="1">
      <c r="A132" s="10" t="s">
        <v>169</v>
      </c>
      <c r="B132" s="10" t="s">
        <v>107</v>
      </c>
      <c r="C132" s="10">
        <v>13.77</v>
      </c>
      <c r="D132" s="10" t="s">
        <v>108</v>
      </c>
      <c r="E132" s="10" t="s">
        <v>14</v>
      </c>
      <c r="F132" s="10">
        <v>4.0</v>
      </c>
      <c r="G132" s="11">
        <f t="shared" si="3"/>
        <v>3.4425</v>
      </c>
      <c r="H132" s="10" t="s">
        <v>15</v>
      </c>
      <c r="I132" s="12">
        <v>7.889512949E9</v>
      </c>
      <c r="J132" s="16"/>
      <c r="K132" s="14"/>
      <c r="L132" s="15" t="b">
        <v>0</v>
      </c>
    </row>
    <row r="133" ht="15.75" customHeight="1">
      <c r="A133" s="10" t="s">
        <v>170</v>
      </c>
      <c r="B133" s="10" t="s">
        <v>136</v>
      </c>
      <c r="C133" s="10">
        <v>26.36</v>
      </c>
      <c r="D133" s="10" t="s">
        <v>13</v>
      </c>
      <c r="E133" s="10" t="s">
        <v>171</v>
      </c>
      <c r="F133" s="10">
        <v>56.0</v>
      </c>
      <c r="G133" s="11">
        <f t="shared" si="3"/>
        <v>0.4707142857</v>
      </c>
      <c r="H133" s="10" t="s">
        <v>15</v>
      </c>
      <c r="I133" s="12">
        <v>1.282200904E9</v>
      </c>
      <c r="J133" s="16"/>
      <c r="K133" s="14"/>
      <c r="L133" s="15" t="b">
        <v>0</v>
      </c>
    </row>
    <row r="134" ht="15.75" customHeight="1">
      <c r="A134" s="10" t="s">
        <v>172</v>
      </c>
      <c r="B134" s="10" t="s">
        <v>107</v>
      </c>
      <c r="C134" s="10">
        <v>17.9</v>
      </c>
      <c r="D134" s="10" t="s">
        <v>108</v>
      </c>
      <c r="E134" s="10" t="s">
        <v>109</v>
      </c>
      <c r="F134" s="10">
        <v>1.0</v>
      </c>
      <c r="G134" s="11">
        <f t="shared" si="3"/>
        <v>17.9</v>
      </c>
      <c r="H134" s="10" t="s">
        <v>104</v>
      </c>
      <c r="I134" s="12">
        <v>2.446306121E9</v>
      </c>
      <c r="J134" s="16"/>
      <c r="K134" s="14"/>
      <c r="L134" s="15" t="b">
        <v>0</v>
      </c>
    </row>
    <row r="135" ht="15.75" customHeight="1">
      <c r="A135" s="10" t="s">
        <v>173</v>
      </c>
      <c r="B135" s="10" t="s">
        <v>107</v>
      </c>
      <c r="C135" s="10">
        <v>38.81</v>
      </c>
      <c r="D135" s="10" t="s">
        <v>13</v>
      </c>
      <c r="E135" s="10" t="s">
        <v>14</v>
      </c>
      <c r="F135" s="10">
        <v>30.0</v>
      </c>
      <c r="G135" s="11">
        <f t="shared" si="3"/>
        <v>1.293666667</v>
      </c>
      <c r="H135" s="10" t="s">
        <v>15</v>
      </c>
      <c r="I135" s="12">
        <v>7.4281271005E10</v>
      </c>
      <c r="J135" s="16"/>
      <c r="K135" s="14"/>
      <c r="L135" s="15" t="b">
        <v>0</v>
      </c>
    </row>
    <row r="136" ht="15.75" customHeight="1">
      <c r="A136" s="10" t="s">
        <v>174</v>
      </c>
      <c r="B136" s="10" t="s">
        <v>107</v>
      </c>
      <c r="C136" s="10">
        <v>99.06</v>
      </c>
      <c r="D136" s="10" t="s">
        <v>13</v>
      </c>
      <c r="E136" s="10" t="s">
        <v>14</v>
      </c>
      <c r="F136" s="10">
        <v>30.0</v>
      </c>
      <c r="G136" s="11">
        <f t="shared" si="3"/>
        <v>3.302</v>
      </c>
      <c r="H136" s="10" t="s">
        <v>15</v>
      </c>
      <c r="I136" s="12">
        <v>2.07172238E9</v>
      </c>
      <c r="J136" s="16"/>
      <c r="K136" s="14"/>
      <c r="L136" s="15" t="b">
        <v>0</v>
      </c>
    </row>
    <row r="137" ht="15.75" customHeight="1">
      <c r="A137" s="10" t="s">
        <v>175</v>
      </c>
      <c r="B137" s="10" t="s">
        <v>107</v>
      </c>
      <c r="C137" s="10">
        <v>3.89</v>
      </c>
      <c r="D137" s="10" t="s">
        <v>13</v>
      </c>
      <c r="E137" s="10" t="s">
        <v>44</v>
      </c>
      <c r="F137" s="10">
        <v>28.0</v>
      </c>
      <c r="G137" s="11">
        <f t="shared" si="3"/>
        <v>0.1389285714</v>
      </c>
      <c r="H137" s="10" t="s">
        <v>15</v>
      </c>
      <c r="I137" s="12">
        <v>2.446306116E9</v>
      </c>
      <c r="J137" s="16"/>
      <c r="K137" s="14"/>
      <c r="L137" s="15" t="b">
        <v>0</v>
      </c>
    </row>
    <row r="138" ht="15.75" customHeight="1">
      <c r="A138" s="15" t="s">
        <v>176</v>
      </c>
      <c r="B138" s="10" t="s">
        <v>136</v>
      </c>
      <c r="C138" s="10">
        <v>7.89</v>
      </c>
      <c r="D138" s="10" t="s">
        <v>13</v>
      </c>
      <c r="E138" s="10" t="s">
        <v>44</v>
      </c>
      <c r="F138" s="10">
        <v>24.0</v>
      </c>
      <c r="G138" s="11">
        <f t="shared" si="3"/>
        <v>0.32875</v>
      </c>
      <c r="H138" s="10" t="s">
        <v>27</v>
      </c>
      <c r="I138" s="17">
        <v>1.0044300126203E13</v>
      </c>
      <c r="J138" s="16"/>
      <c r="K138" s="14"/>
      <c r="L138" s="15" t="b">
        <v>0</v>
      </c>
    </row>
    <row r="139" ht="15.75" customHeight="1">
      <c r="A139" s="15" t="s">
        <v>177</v>
      </c>
      <c r="B139" s="10" t="s">
        <v>119</v>
      </c>
      <c r="C139" s="10">
        <v>4.4</v>
      </c>
      <c r="D139" s="10" t="s">
        <v>13</v>
      </c>
      <c r="E139" s="10" t="s">
        <v>14</v>
      </c>
      <c r="F139" s="10">
        <v>1.1</v>
      </c>
      <c r="G139" s="11">
        <f t="shared" si="3"/>
        <v>4</v>
      </c>
      <c r="H139" s="10" t="s">
        <v>15</v>
      </c>
      <c r="I139" s="12">
        <v>3.022301456E9</v>
      </c>
      <c r="J139" s="16"/>
      <c r="K139" s="14"/>
      <c r="L139" s="15" t="b">
        <v>0</v>
      </c>
    </row>
    <row r="140" ht="15.75" customHeight="1">
      <c r="A140" s="10" t="s">
        <v>178</v>
      </c>
      <c r="B140" s="10" t="s">
        <v>151</v>
      </c>
      <c r="C140" s="10">
        <v>43.56</v>
      </c>
      <c r="D140" s="10" t="s">
        <v>13</v>
      </c>
      <c r="E140" s="10" t="s">
        <v>14</v>
      </c>
      <c r="F140" s="10">
        <v>5.0</v>
      </c>
      <c r="G140" s="11">
        <f t="shared" si="3"/>
        <v>8.712</v>
      </c>
      <c r="H140" s="10" t="s">
        <v>15</v>
      </c>
      <c r="I140" s="12">
        <v>8.1304401376E10</v>
      </c>
      <c r="J140" s="16"/>
      <c r="K140" s="14"/>
      <c r="L140" s="15" t="b">
        <v>0</v>
      </c>
    </row>
    <row r="141" ht="15.75" customHeight="1">
      <c r="A141" s="10" t="s">
        <v>179</v>
      </c>
      <c r="B141" s="10" t="s">
        <v>151</v>
      </c>
      <c r="C141" s="10">
        <v>37.86</v>
      </c>
      <c r="D141" s="10" t="s">
        <v>13</v>
      </c>
      <c r="E141" s="10" t="s">
        <v>14</v>
      </c>
      <c r="F141" s="10">
        <v>5.0</v>
      </c>
      <c r="G141" s="11">
        <f t="shared" si="3"/>
        <v>7.572</v>
      </c>
      <c r="H141" s="10" t="s">
        <v>15</v>
      </c>
      <c r="I141" s="12">
        <v>7.6069557305E10</v>
      </c>
      <c r="J141" s="16"/>
      <c r="K141" s="14"/>
      <c r="L141" s="15" t="b">
        <v>0</v>
      </c>
    </row>
    <row r="142" ht="15.75" customHeight="1">
      <c r="A142" s="10" t="s">
        <v>180</v>
      </c>
      <c r="B142" s="10" t="s">
        <v>136</v>
      </c>
      <c r="C142" s="10">
        <v>30.82</v>
      </c>
      <c r="D142" s="10" t="s">
        <v>13</v>
      </c>
      <c r="E142" s="10" t="s">
        <v>14</v>
      </c>
      <c r="F142" s="10">
        <v>35.0</v>
      </c>
      <c r="G142" s="11">
        <f t="shared" si="3"/>
        <v>0.8805714286</v>
      </c>
      <c r="H142" s="10" t="s">
        <v>15</v>
      </c>
      <c r="I142" s="12">
        <v>7.6069500935E10</v>
      </c>
      <c r="J142" s="16"/>
      <c r="K142" s="14"/>
      <c r="L142" s="15" t="b">
        <v>0</v>
      </c>
    </row>
    <row r="143" ht="15.75" customHeight="1">
      <c r="A143" s="10" t="s">
        <v>181</v>
      </c>
      <c r="B143" s="10" t="s">
        <v>136</v>
      </c>
      <c r="C143" s="10">
        <v>66.9</v>
      </c>
      <c r="D143" s="10" t="s">
        <v>108</v>
      </c>
      <c r="E143" s="10" t="s">
        <v>109</v>
      </c>
      <c r="F143" s="10">
        <v>6.0</v>
      </c>
      <c r="G143" s="11">
        <f t="shared" si="3"/>
        <v>11.15</v>
      </c>
      <c r="H143" s="10" t="s">
        <v>15</v>
      </c>
      <c r="I143" s="12">
        <v>4.023269077E9</v>
      </c>
      <c r="J143" s="16"/>
      <c r="K143" s="14"/>
      <c r="L143" s="15" t="b">
        <v>0</v>
      </c>
    </row>
    <row r="144" ht="15.75" customHeight="1">
      <c r="A144" s="10" t="s">
        <v>182</v>
      </c>
      <c r="B144" s="10" t="s">
        <v>136</v>
      </c>
      <c r="C144" s="10">
        <v>31.11</v>
      </c>
      <c r="D144" s="10" t="s">
        <v>13</v>
      </c>
      <c r="E144" s="10" t="s">
        <v>14</v>
      </c>
      <c r="F144" s="10">
        <v>35.0</v>
      </c>
      <c r="G144" s="11">
        <f t="shared" si="3"/>
        <v>0.8888571429</v>
      </c>
      <c r="H144" s="10" t="s">
        <v>15</v>
      </c>
      <c r="I144" s="12">
        <v>7.6069500938E10</v>
      </c>
      <c r="J144" s="16"/>
      <c r="K144" s="14"/>
      <c r="L144" s="15" t="b">
        <v>0</v>
      </c>
    </row>
    <row r="145" ht="15.75" customHeight="1">
      <c r="A145" s="10" t="s">
        <v>183</v>
      </c>
      <c r="B145" s="10" t="s">
        <v>119</v>
      </c>
      <c r="C145" s="10">
        <v>28.67</v>
      </c>
      <c r="D145" s="10" t="s">
        <v>99</v>
      </c>
      <c r="E145" s="10" t="s">
        <v>82</v>
      </c>
      <c r="F145" s="10">
        <v>48.0</v>
      </c>
      <c r="G145" s="11">
        <f t="shared" si="3"/>
        <v>0.5972916667</v>
      </c>
      <c r="H145" s="10" t="s">
        <v>15</v>
      </c>
      <c r="I145" s="12">
        <v>2.060042661E9</v>
      </c>
      <c r="J145" s="16"/>
      <c r="K145" s="14"/>
      <c r="L145" s="15" t="b">
        <v>0</v>
      </c>
    </row>
    <row r="146" ht="15.75" customHeight="1">
      <c r="A146" s="10" t="s">
        <v>184</v>
      </c>
      <c r="B146" s="10" t="s">
        <v>145</v>
      </c>
      <c r="C146" s="10">
        <v>32.39</v>
      </c>
      <c r="D146" s="10" t="s">
        <v>99</v>
      </c>
      <c r="E146" s="10" t="s">
        <v>82</v>
      </c>
      <c r="F146" s="10">
        <v>192.0</v>
      </c>
      <c r="G146" s="11">
        <f t="shared" si="3"/>
        <v>0.1686979167</v>
      </c>
      <c r="H146" s="10" t="s">
        <v>15</v>
      </c>
      <c r="I146" s="12">
        <v>7.93410208E9</v>
      </c>
      <c r="J146" s="16"/>
      <c r="K146" s="14"/>
      <c r="L146" s="15" t="b">
        <v>0</v>
      </c>
    </row>
    <row r="147" ht="15.75" customHeight="1">
      <c r="A147" s="15" t="s">
        <v>185</v>
      </c>
      <c r="B147" s="10" t="s">
        <v>145</v>
      </c>
      <c r="C147" s="10">
        <v>4.32</v>
      </c>
      <c r="D147" s="10" t="s">
        <v>43</v>
      </c>
      <c r="E147" s="10" t="s">
        <v>82</v>
      </c>
      <c r="F147" s="10">
        <v>80.0</v>
      </c>
      <c r="G147" s="11">
        <f t="shared" si="3"/>
        <v>0.054</v>
      </c>
      <c r="H147" s="10" t="s">
        <v>15</v>
      </c>
      <c r="I147" s="12">
        <v>4.856406E9</v>
      </c>
      <c r="J147" s="16"/>
      <c r="K147" s="14"/>
      <c r="L147" s="15" t="b">
        <v>0</v>
      </c>
    </row>
    <row r="148" ht="15.75" customHeight="1">
      <c r="A148" s="10" t="s">
        <v>186</v>
      </c>
      <c r="B148" s="10" t="s">
        <v>145</v>
      </c>
      <c r="C148" s="10">
        <v>46.02</v>
      </c>
      <c r="D148" s="10" t="s">
        <v>99</v>
      </c>
      <c r="E148" s="10" t="s">
        <v>82</v>
      </c>
      <c r="F148" s="10">
        <v>6.0</v>
      </c>
      <c r="G148" s="11">
        <f t="shared" si="3"/>
        <v>7.67</v>
      </c>
      <c r="H148" s="10" t="s">
        <v>15</v>
      </c>
      <c r="I148" s="12">
        <v>4.144910028E9</v>
      </c>
      <c r="J148" s="16"/>
      <c r="K148" s="14"/>
      <c r="L148" s="15" t="b">
        <v>0</v>
      </c>
    </row>
    <row r="149" ht="15.75" customHeight="1">
      <c r="A149" s="10" t="s">
        <v>187</v>
      </c>
      <c r="B149" s="10" t="s">
        <v>93</v>
      </c>
      <c r="C149" s="10">
        <v>28.73</v>
      </c>
      <c r="D149" s="10" t="s">
        <v>13</v>
      </c>
      <c r="E149" s="10" t="s">
        <v>14</v>
      </c>
      <c r="F149" s="10">
        <v>5.0</v>
      </c>
      <c r="G149" s="11">
        <f t="shared" si="3"/>
        <v>5.746</v>
      </c>
      <c r="H149" s="10" t="s">
        <v>15</v>
      </c>
      <c r="I149" s="12">
        <v>4.27431222E9</v>
      </c>
      <c r="J149" s="16"/>
      <c r="K149" s="14"/>
      <c r="L149" s="15" t="b">
        <v>0</v>
      </c>
    </row>
    <row r="150" ht="15.75" customHeight="1">
      <c r="A150" s="15" t="s">
        <v>188</v>
      </c>
      <c r="B150" s="10" t="s">
        <v>40</v>
      </c>
      <c r="C150" s="10">
        <v>20.0</v>
      </c>
      <c r="D150" s="10" t="s">
        <v>108</v>
      </c>
      <c r="E150" s="10" t="s">
        <v>109</v>
      </c>
      <c r="F150" s="10">
        <v>1.0</v>
      </c>
      <c r="G150" s="11">
        <f t="shared" si="3"/>
        <v>20</v>
      </c>
      <c r="H150" s="10" t="s">
        <v>41</v>
      </c>
      <c r="J150" s="16"/>
      <c r="K150" s="14"/>
      <c r="L150" s="15" t="b">
        <v>0</v>
      </c>
    </row>
    <row r="151" ht="15.75" customHeight="1">
      <c r="A151" s="15" t="s">
        <v>189</v>
      </c>
      <c r="B151" s="10" t="s">
        <v>40</v>
      </c>
      <c r="C151" s="10">
        <v>15.0</v>
      </c>
      <c r="D151" s="10" t="s">
        <v>108</v>
      </c>
      <c r="E151" s="10" t="s">
        <v>109</v>
      </c>
      <c r="F151" s="10">
        <v>1.0</v>
      </c>
      <c r="G151" s="11">
        <f t="shared" si="3"/>
        <v>15</v>
      </c>
      <c r="H151" s="10" t="s">
        <v>41</v>
      </c>
      <c r="J151" s="16"/>
      <c r="K151" s="14"/>
      <c r="L151" s="15" t="b">
        <v>0</v>
      </c>
    </row>
    <row r="152" ht="15.75" customHeight="1">
      <c r="A152" s="15" t="s">
        <v>190</v>
      </c>
      <c r="B152" s="10" t="s">
        <v>40</v>
      </c>
      <c r="C152" s="10">
        <v>20.0</v>
      </c>
      <c r="D152" s="10" t="s">
        <v>13</v>
      </c>
      <c r="E152" s="10" t="s">
        <v>14</v>
      </c>
      <c r="F152" s="10">
        <v>4.0</v>
      </c>
      <c r="G152" s="11">
        <f t="shared" si="3"/>
        <v>5</v>
      </c>
      <c r="H152" s="10" t="s">
        <v>41</v>
      </c>
      <c r="J152" s="16"/>
      <c r="K152" s="14"/>
      <c r="L152" s="15" t="b">
        <v>0</v>
      </c>
    </row>
    <row r="153" ht="15.75" customHeight="1">
      <c r="A153" s="10" t="s">
        <v>191</v>
      </c>
      <c r="B153" s="10" t="s">
        <v>119</v>
      </c>
      <c r="C153" s="10">
        <v>26.32</v>
      </c>
      <c r="D153" s="10" t="s">
        <v>13</v>
      </c>
      <c r="E153" s="10" t="s">
        <v>14</v>
      </c>
      <c r="F153" s="10">
        <v>15.0</v>
      </c>
      <c r="G153" s="11">
        <f t="shared" si="3"/>
        <v>1.754666667</v>
      </c>
      <c r="H153" s="10" t="s">
        <v>15</v>
      </c>
      <c r="I153" s="12">
        <v>2.060056266E9</v>
      </c>
      <c r="J153" s="16"/>
      <c r="K153" s="14"/>
      <c r="L153" s="15" t="b">
        <v>0</v>
      </c>
    </row>
    <row r="154" ht="15.75" customHeight="1">
      <c r="A154" s="10" t="s">
        <v>192</v>
      </c>
      <c r="B154" s="10" t="s">
        <v>119</v>
      </c>
      <c r="C154" s="10">
        <v>22.79</v>
      </c>
      <c r="D154" s="10" t="s">
        <v>99</v>
      </c>
      <c r="E154" s="10" t="s">
        <v>82</v>
      </c>
      <c r="F154" s="10">
        <v>72.0</v>
      </c>
      <c r="G154" s="11">
        <f t="shared" si="3"/>
        <v>0.3165277778</v>
      </c>
      <c r="H154" s="10" t="s">
        <v>15</v>
      </c>
      <c r="I154" s="12">
        <v>2.060035413E9</v>
      </c>
      <c r="J154" s="16"/>
      <c r="K154" s="14"/>
      <c r="L154" s="15" t="b">
        <v>0</v>
      </c>
    </row>
    <row r="155" ht="15.75" customHeight="1">
      <c r="A155" s="15" t="s">
        <v>193</v>
      </c>
      <c r="B155" s="10" t="s">
        <v>151</v>
      </c>
      <c r="C155" s="10">
        <v>22.87</v>
      </c>
      <c r="D155" s="10" t="s">
        <v>13</v>
      </c>
      <c r="E155" s="10" t="s">
        <v>14</v>
      </c>
      <c r="F155" s="10">
        <v>5.0</v>
      </c>
      <c r="G155" s="11">
        <f t="shared" si="3"/>
        <v>4.574</v>
      </c>
      <c r="H155" s="10" t="s">
        <v>15</v>
      </c>
      <c r="I155" s="12">
        <v>7.6069557314E10</v>
      </c>
      <c r="J155" s="16"/>
      <c r="K155" s="14"/>
      <c r="L155" s="15" t="b">
        <v>0</v>
      </c>
    </row>
    <row r="156" ht="15.75" customHeight="1">
      <c r="A156" s="10" t="s">
        <v>194</v>
      </c>
      <c r="B156" s="10" t="s">
        <v>151</v>
      </c>
      <c r="C156" s="10">
        <v>9.85</v>
      </c>
      <c r="D156" s="10" t="s">
        <v>13</v>
      </c>
      <c r="E156" s="10" t="s">
        <v>44</v>
      </c>
      <c r="F156" s="10">
        <v>28.0</v>
      </c>
      <c r="G156" s="11">
        <f t="shared" si="3"/>
        <v>0.3517857143</v>
      </c>
      <c r="H156" s="10" t="s">
        <v>15</v>
      </c>
      <c r="I156" s="12">
        <v>6.3314816655E10</v>
      </c>
      <c r="J156" s="16"/>
      <c r="K156" s="14"/>
      <c r="L156" s="15" t="b">
        <v>0</v>
      </c>
    </row>
    <row r="157" ht="15.75" customHeight="1">
      <c r="A157" s="10" t="s">
        <v>195</v>
      </c>
      <c r="B157" s="10" t="s">
        <v>151</v>
      </c>
      <c r="C157" s="10">
        <v>25.69</v>
      </c>
      <c r="D157" s="10" t="s">
        <v>13</v>
      </c>
      <c r="E157" s="10" t="s">
        <v>14</v>
      </c>
      <c r="F157" s="10">
        <v>5.0</v>
      </c>
      <c r="G157" s="11">
        <f t="shared" si="3"/>
        <v>5.138</v>
      </c>
      <c r="H157" s="10" t="s">
        <v>15</v>
      </c>
      <c r="I157" s="12">
        <v>7.6069557339E10</v>
      </c>
      <c r="J157" s="16"/>
      <c r="K157" s="14"/>
      <c r="L157" s="15" t="b">
        <v>0</v>
      </c>
    </row>
    <row r="158" ht="15.75" customHeight="1">
      <c r="A158" s="10" t="s">
        <v>196</v>
      </c>
      <c r="B158" s="10" t="s">
        <v>151</v>
      </c>
      <c r="C158" s="10">
        <v>19.4</v>
      </c>
      <c r="D158" s="10" t="s">
        <v>13</v>
      </c>
      <c r="E158" s="10" t="s">
        <v>14</v>
      </c>
      <c r="F158" s="10">
        <v>5.0</v>
      </c>
      <c r="G158" s="11">
        <f t="shared" si="3"/>
        <v>3.88</v>
      </c>
      <c r="H158" s="10" t="s">
        <v>15</v>
      </c>
      <c r="I158" s="12">
        <v>7.6069557346E10</v>
      </c>
      <c r="J158" s="16"/>
      <c r="K158" s="14"/>
      <c r="L158" s="15" t="b">
        <v>0</v>
      </c>
    </row>
    <row r="159" ht="15.75" customHeight="1">
      <c r="A159" s="10" t="s">
        <v>197</v>
      </c>
      <c r="B159" s="10" t="s">
        <v>151</v>
      </c>
      <c r="C159" s="10">
        <v>25.95</v>
      </c>
      <c r="D159" s="10" t="s">
        <v>13</v>
      </c>
      <c r="E159" s="10" t="s">
        <v>14</v>
      </c>
      <c r="F159" s="10">
        <v>5.0</v>
      </c>
      <c r="G159" s="11">
        <f t="shared" si="3"/>
        <v>5.19</v>
      </c>
      <c r="H159" s="10" t="s">
        <v>104</v>
      </c>
      <c r="I159" s="12">
        <v>7.6069557323E10</v>
      </c>
      <c r="J159" s="16"/>
      <c r="K159" s="14"/>
      <c r="L159" s="15" t="b">
        <v>0</v>
      </c>
    </row>
    <row r="160" ht="15.75" customHeight="1">
      <c r="A160" s="10" t="s">
        <v>164</v>
      </c>
      <c r="B160" s="10" t="s">
        <v>151</v>
      </c>
      <c r="C160" s="10">
        <v>32.47</v>
      </c>
      <c r="D160" s="10" t="s">
        <v>13</v>
      </c>
      <c r="E160" s="10" t="s">
        <v>14</v>
      </c>
      <c r="F160" s="10">
        <v>6.0</v>
      </c>
      <c r="G160" s="11">
        <f t="shared" si="3"/>
        <v>5.411666667</v>
      </c>
      <c r="H160" s="10" t="s">
        <v>15</v>
      </c>
      <c r="I160" s="12">
        <v>7.60695573E10</v>
      </c>
      <c r="J160" s="16"/>
      <c r="K160" s="14"/>
      <c r="L160" s="15" t="b">
        <v>0</v>
      </c>
    </row>
    <row r="161" ht="15.75" customHeight="1">
      <c r="A161" s="10" t="s">
        <v>198</v>
      </c>
      <c r="B161" s="10" t="s">
        <v>95</v>
      </c>
      <c r="C161" s="10">
        <v>48.09</v>
      </c>
      <c r="D161" s="10" t="s">
        <v>13</v>
      </c>
      <c r="E161" s="10" t="s">
        <v>14</v>
      </c>
      <c r="F161" s="10">
        <v>6.0</v>
      </c>
      <c r="G161" s="11">
        <f t="shared" si="3"/>
        <v>8.015</v>
      </c>
      <c r="H161" s="10" t="s">
        <v>15</v>
      </c>
      <c r="I161" s="12">
        <v>7.6069529875E10</v>
      </c>
      <c r="J161" s="16"/>
      <c r="K161" s="14"/>
      <c r="L161" s="15" t="b">
        <v>0</v>
      </c>
    </row>
    <row r="162" ht="15.75" customHeight="1">
      <c r="A162" s="15" t="s">
        <v>199</v>
      </c>
      <c r="B162" s="10" t="s">
        <v>95</v>
      </c>
      <c r="C162" s="10">
        <v>21.77</v>
      </c>
      <c r="D162" s="10" t="s">
        <v>13</v>
      </c>
      <c r="E162" s="10" t="s">
        <v>14</v>
      </c>
      <c r="F162" s="10">
        <v>9.25</v>
      </c>
      <c r="G162" s="11">
        <f t="shared" si="3"/>
        <v>2.353513514</v>
      </c>
      <c r="H162" s="10" t="s">
        <v>15</v>
      </c>
      <c r="I162" s="12">
        <v>7.1270491E9</v>
      </c>
      <c r="J162" s="16"/>
      <c r="K162" s="14"/>
      <c r="L162" s="15" t="b">
        <v>0</v>
      </c>
    </row>
    <row r="163" ht="15.75" customHeight="1">
      <c r="A163" s="15" t="s">
        <v>200</v>
      </c>
      <c r="B163" s="10" t="s">
        <v>119</v>
      </c>
      <c r="C163" s="10">
        <v>5.68</v>
      </c>
      <c r="D163" s="10" t="s">
        <v>13</v>
      </c>
      <c r="E163" s="10" t="s">
        <v>14</v>
      </c>
      <c r="F163" s="10">
        <v>1.0</v>
      </c>
      <c r="G163" s="11">
        <f t="shared" si="3"/>
        <v>5.68</v>
      </c>
      <c r="H163" s="10" t="s">
        <v>15</v>
      </c>
      <c r="I163" s="12">
        <v>2.060042508E9</v>
      </c>
      <c r="J163" s="16"/>
      <c r="K163" s="14"/>
      <c r="L163" s="15" t="b">
        <v>0</v>
      </c>
    </row>
    <row r="164" ht="15.75" customHeight="1">
      <c r="A164" s="10" t="s">
        <v>201</v>
      </c>
      <c r="B164" s="10" t="s">
        <v>151</v>
      </c>
      <c r="C164" s="10">
        <v>23.18</v>
      </c>
      <c r="D164" s="10" t="s">
        <v>13</v>
      </c>
      <c r="E164" s="10" t="s">
        <v>14</v>
      </c>
      <c r="F164" s="10">
        <v>5.0</v>
      </c>
      <c r="G164" s="11">
        <f t="shared" si="3"/>
        <v>4.636</v>
      </c>
      <c r="H164" s="10" t="s">
        <v>15</v>
      </c>
      <c r="I164" s="12">
        <v>8.1304401024E10</v>
      </c>
      <c r="J164" s="16"/>
      <c r="K164" s="14"/>
      <c r="L164" s="15" t="b">
        <v>0</v>
      </c>
    </row>
    <row r="165" ht="15.75" customHeight="1">
      <c r="A165" s="15" t="s">
        <v>202</v>
      </c>
      <c r="B165" s="10" t="s">
        <v>119</v>
      </c>
      <c r="C165" s="10">
        <v>41.14</v>
      </c>
      <c r="D165" s="10" t="s">
        <v>13</v>
      </c>
      <c r="E165" s="10" t="s">
        <v>14</v>
      </c>
      <c r="F165" s="10">
        <v>24.0</v>
      </c>
      <c r="G165" s="11">
        <f t="shared" si="3"/>
        <v>1.714166667</v>
      </c>
      <c r="H165" s="10" t="s">
        <v>15</v>
      </c>
      <c r="I165" s="12">
        <v>7.6069501919E10</v>
      </c>
      <c r="J165" s="16"/>
      <c r="K165" s="14"/>
      <c r="L165" s="15" t="b">
        <v>0</v>
      </c>
    </row>
    <row r="166" ht="15.75" customHeight="1">
      <c r="A166" s="15" t="s">
        <v>203</v>
      </c>
      <c r="B166" s="10" t="s">
        <v>119</v>
      </c>
      <c r="C166" s="10">
        <v>24.32</v>
      </c>
      <c r="D166" s="10" t="s">
        <v>99</v>
      </c>
      <c r="E166" s="10" t="s">
        <v>82</v>
      </c>
      <c r="F166" s="10">
        <v>24.0</v>
      </c>
      <c r="G166" s="11">
        <f t="shared" si="3"/>
        <v>1.013333333</v>
      </c>
      <c r="H166" s="10" t="s">
        <v>15</v>
      </c>
      <c r="I166" s="12">
        <v>2.060059168E9</v>
      </c>
      <c r="J166" s="16"/>
      <c r="K166" s="14"/>
      <c r="L166" s="15" t="b">
        <v>0</v>
      </c>
    </row>
    <row r="167" ht="15.75" customHeight="1">
      <c r="A167" s="10" t="s">
        <v>204</v>
      </c>
      <c r="B167" s="10" t="s">
        <v>107</v>
      </c>
      <c r="C167" s="10">
        <v>41.99</v>
      </c>
      <c r="D167" s="10" t="s">
        <v>108</v>
      </c>
      <c r="E167" s="10" t="s">
        <v>109</v>
      </c>
      <c r="F167" s="10">
        <v>4.0</v>
      </c>
      <c r="G167" s="11">
        <f t="shared" si="3"/>
        <v>10.4975</v>
      </c>
      <c r="H167" s="10" t="s">
        <v>15</v>
      </c>
      <c r="I167" s="12">
        <v>7.606950035E10</v>
      </c>
      <c r="J167" s="16"/>
      <c r="K167" s="14"/>
      <c r="L167" s="15" t="b">
        <v>0</v>
      </c>
    </row>
    <row r="168" ht="15.75" customHeight="1">
      <c r="A168" s="10" t="s">
        <v>205</v>
      </c>
      <c r="B168" s="10" t="s">
        <v>89</v>
      </c>
      <c r="C168" s="10">
        <v>14.99</v>
      </c>
      <c r="D168" s="10" t="s">
        <v>13</v>
      </c>
      <c r="E168" s="10" t="s">
        <v>14</v>
      </c>
      <c r="F168" s="10">
        <v>20.0</v>
      </c>
      <c r="G168" s="11">
        <f t="shared" si="3"/>
        <v>0.7495</v>
      </c>
      <c r="H168" s="10" t="s">
        <v>15</v>
      </c>
      <c r="I168" s="12">
        <v>7.6069502935E10</v>
      </c>
      <c r="J168" s="16"/>
      <c r="K168" s="14"/>
      <c r="L168" s="15" t="b">
        <v>0</v>
      </c>
    </row>
    <row r="169" ht="15.75" customHeight="1">
      <c r="A169" s="10" t="s">
        <v>206</v>
      </c>
      <c r="B169" s="10" t="s">
        <v>89</v>
      </c>
      <c r="C169" s="10">
        <v>14.99</v>
      </c>
      <c r="D169" s="10" t="s">
        <v>13</v>
      </c>
      <c r="E169" s="10" t="s">
        <v>14</v>
      </c>
      <c r="F169" s="10">
        <v>20.0</v>
      </c>
      <c r="G169" s="11">
        <f t="shared" si="3"/>
        <v>0.7495</v>
      </c>
      <c r="H169" s="10" t="s">
        <v>15</v>
      </c>
      <c r="I169" s="19">
        <v>7.6069502934E10</v>
      </c>
      <c r="J169" s="16"/>
      <c r="K169" s="14"/>
      <c r="L169" s="15" t="b">
        <v>0</v>
      </c>
    </row>
    <row r="170" ht="15.75" customHeight="1">
      <c r="A170" s="15" t="s">
        <v>207</v>
      </c>
      <c r="B170" s="10" t="s">
        <v>40</v>
      </c>
      <c r="C170" s="10">
        <v>25.0</v>
      </c>
      <c r="D170" s="10" t="s">
        <v>108</v>
      </c>
      <c r="E170" s="10" t="s">
        <v>109</v>
      </c>
      <c r="F170" s="10">
        <v>1.0</v>
      </c>
      <c r="G170" s="11">
        <f t="shared" si="3"/>
        <v>25</v>
      </c>
      <c r="H170" s="10" t="s">
        <v>41</v>
      </c>
      <c r="J170" s="16"/>
      <c r="K170" s="14"/>
      <c r="L170" s="15" t="b">
        <v>0</v>
      </c>
    </row>
    <row r="171" ht="15.75" customHeight="1">
      <c r="A171" s="15" t="s">
        <v>208</v>
      </c>
      <c r="B171" s="10" t="s">
        <v>151</v>
      </c>
      <c r="C171" s="10">
        <v>10.29</v>
      </c>
      <c r="D171" s="10" t="s">
        <v>13</v>
      </c>
      <c r="E171" s="10" t="s">
        <v>14</v>
      </c>
      <c r="F171" s="10">
        <v>2.0</v>
      </c>
      <c r="G171" s="11">
        <f t="shared" si="3"/>
        <v>5.145</v>
      </c>
      <c r="H171" s="10" t="s">
        <v>15</v>
      </c>
      <c r="I171" s="12">
        <v>7.6069500791E10</v>
      </c>
      <c r="J171" s="16"/>
      <c r="K171" s="14"/>
      <c r="L171" s="15" t="b">
        <v>0</v>
      </c>
    </row>
    <row r="172" ht="15.75" customHeight="1">
      <c r="A172" s="10" t="s">
        <v>209</v>
      </c>
      <c r="B172" s="10" t="s">
        <v>151</v>
      </c>
      <c r="C172" s="10">
        <v>6.91</v>
      </c>
      <c r="D172" s="10" t="s">
        <v>13</v>
      </c>
      <c r="E172" s="10" t="s">
        <v>44</v>
      </c>
      <c r="F172" s="10">
        <v>12.0</v>
      </c>
      <c r="G172" s="11">
        <f t="shared" si="3"/>
        <v>0.5758333333</v>
      </c>
      <c r="H172" s="10" t="s">
        <v>15</v>
      </c>
      <c r="I172" s="12">
        <v>7.6069557318E10</v>
      </c>
      <c r="J172" s="16"/>
      <c r="K172" s="14"/>
      <c r="L172" s="15" t="b">
        <v>0</v>
      </c>
    </row>
    <row r="173" ht="15.75" customHeight="1">
      <c r="A173" s="10" t="s">
        <v>210</v>
      </c>
      <c r="B173" s="10" t="s">
        <v>119</v>
      </c>
      <c r="C173" s="10">
        <v>3.0</v>
      </c>
      <c r="D173" s="10" t="s">
        <v>99</v>
      </c>
      <c r="E173" s="10" t="s">
        <v>82</v>
      </c>
      <c r="F173" s="10">
        <v>1.0</v>
      </c>
      <c r="G173" s="11">
        <f t="shared" si="3"/>
        <v>3</v>
      </c>
      <c r="H173" s="10" t="s">
        <v>211</v>
      </c>
      <c r="I173" s="12"/>
      <c r="J173" s="16"/>
      <c r="K173" s="14"/>
      <c r="L173" s="15" t="b">
        <v>0</v>
      </c>
    </row>
    <row r="174" ht="15.75" customHeight="1">
      <c r="A174" s="10" t="s">
        <v>212</v>
      </c>
      <c r="B174" s="10" t="s">
        <v>93</v>
      </c>
      <c r="C174" s="10">
        <v>52.07</v>
      </c>
      <c r="D174" s="10" t="s">
        <v>13</v>
      </c>
      <c r="E174" s="10" t="s">
        <v>14</v>
      </c>
      <c r="F174" s="10">
        <v>10.0</v>
      </c>
      <c r="G174" s="11">
        <f t="shared" si="3"/>
        <v>5.207</v>
      </c>
      <c r="H174" s="10" t="s">
        <v>15</v>
      </c>
      <c r="I174" s="12">
        <v>3.11421018E9</v>
      </c>
      <c r="J174" s="16"/>
      <c r="K174" s="14"/>
      <c r="L174" s="15" t="b">
        <v>0</v>
      </c>
    </row>
    <row r="175" ht="15.75" customHeight="1">
      <c r="A175" s="10" t="s">
        <v>213</v>
      </c>
      <c r="B175" s="10" t="s">
        <v>93</v>
      </c>
      <c r="C175" s="10">
        <v>19.81</v>
      </c>
      <c r="D175" s="10" t="s">
        <v>13</v>
      </c>
      <c r="E175" s="10" t="s">
        <v>14</v>
      </c>
      <c r="F175" s="10">
        <v>5.0</v>
      </c>
      <c r="G175" s="11">
        <f t="shared" si="3"/>
        <v>3.962</v>
      </c>
      <c r="H175" s="10" t="s">
        <v>15</v>
      </c>
      <c r="I175" s="12">
        <v>7.6069502798E10</v>
      </c>
      <c r="J175" s="16"/>
      <c r="K175" s="14"/>
      <c r="L175" s="15" t="b">
        <v>0</v>
      </c>
    </row>
    <row r="176" ht="15.75" customHeight="1">
      <c r="A176" s="10" t="s">
        <v>214</v>
      </c>
      <c r="B176" s="10" t="s">
        <v>93</v>
      </c>
      <c r="C176" s="10">
        <v>6.48</v>
      </c>
      <c r="D176" s="10" t="s">
        <v>13</v>
      </c>
      <c r="E176" s="10" t="s">
        <v>14</v>
      </c>
      <c r="F176" s="10">
        <v>1.0</v>
      </c>
      <c r="G176" s="11">
        <f t="shared" si="3"/>
        <v>6.48</v>
      </c>
      <c r="H176" s="10" t="s">
        <v>15</v>
      </c>
      <c r="I176" s="12">
        <v>7.6069503381E10</v>
      </c>
      <c r="J176" s="16"/>
      <c r="K176" s="14"/>
      <c r="L176" s="15" t="b">
        <v>0</v>
      </c>
    </row>
    <row r="177" ht="15.75" customHeight="1">
      <c r="A177" s="10" t="s">
        <v>215</v>
      </c>
      <c r="B177" s="10" t="s">
        <v>93</v>
      </c>
      <c r="C177" s="10">
        <v>28.33</v>
      </c>
      <c r="D177" s="10" t="s">
        <v>13</v>
      </c>
      <c r="E177" s="10" t="s">
        <v>14</v>
      </c>
      <c r="F177" s="10">
        <v>5.0</v>
      </c>
      <c r="G177" s="11">
        <f t="shared" si="3"/>
        <v>5.666</v>
      </c>
      <c r="H177" s="10" t="s">
        <v>15</v>
      </c>
      <c r="I177" s="12">
        <v>3.114235942E9</v>
      </c>
      <c r="J177" s="16"/>
      <c r="K177" s="14"/>
      <c r="L177" s="15" t="b">
        <v>0</v>
      </c>
    </row>
    <row r="178" ht="15.75" customHeight="1">
      <c r="A178" s="10" t="s">
        <v>216</v>
      </c>
      <c r="B178" s="10" t="s">
        <v>93</v>
      </c>
      <c r="C178" s="10">
        <v>28.63</v>
      </c>
      <c r="D178" s="10" t="s">
        <v>13</v>
      </c>
      <c r="E178" s="10" t="s">
        <v>14</v>
      </c>
      <c r="F178" s="10">
        <v>5.0</v>
      </c>
      <c r="G178" s="11">
        <f t="shared" si="3"/>
        <v>5.726</v>
      </c>
      <c r="H178" s="10" t="s">
        <v>15</v>
      </c>
      <c r="I178" s="12">
        <v>3.11423591E9</v>
      </c>
      <c r="J178" s="16"/>
      <c r="K178" s="14"/>
      <c r="L178" s="15" t="b">
        <v>0</v>
      </c>
    </row>
    <row r="179" ht="15.75" customHeight="1">
      <c r="A179" s="10" t="s">
        <v>217</v>
      </c>
      <c r="B179" s="10" t="s">
        <v>93</v>
      </c>
      <c r="C179" s="10">
        <v>11.02</v>
      </c>
      <c r="D179" s="10" t="s">
        <v>13</v>
      </c>
      <c r="E179" s="10" t="s">
        <v>14</v>
      </c>
      <c r="F179" s="10">
        <v>1.0</v>
      </c>
      <c r="G179" s="11">
        <f t="shared" si="3"/>
        <v>11.02</v>
      </c>
      <c r="H179" s="10" t="s">
        <v>15</v>
      </c>
      <c r="I179" s="12">
        <v>6.4334281532E10</v>
      </c>
      <c r="J179" s="16"/>
      <c r="K179" s="14"/>
      <c r="L179" s="15" t="b">
        <v>0</v>
      </c>
    </row>
    <row r="180" ht="15.75" customHeight="1">
      <c r="A180" s="10" t="s">
        <v>218</v>
      </c>
      <c r="B180" s="10" t="s">
        <v>93</v>
      </c>
      <c r="C180" s="10">
        <v>59.09</v>
      </c>
      <c r="D180" s="10" t="s">
        <v>13</v>
      </c>
      <c r="E180" s="10" t="s">
        <v>14</v>
      </c>
      <c r="F180" s="10">
        <v>20.0</v>
      </c>
      <c r="G180" s="11">
        <f t="shared" si="3"/>
        <v>2.9545</v>
      </c>
      <c r="H180" s="10" t="s">
        <v>15</v>
      </c>
      <c r="I180" s="12">
        <v>6.0688610845E10</v>
      </c>
      <c r="J180" s="16"/>
      <c r="K180" s="14"/>
      <c r="L180" s="15" t="b">
        <v>0</v>
      </c>
    </row>
    <row r="181" ht="15.75" customHeight="1">
      <c r="A181" s="10" t="s">
        <v>219</v>
      </c>
      <c r="B181" s="10" t="s">
        <v>93</v>
      </c>
      <c r="C181" s="10">
        <v>74.72</v>
      </c>
      <c r="D181" s="10" t="s">
        <v>13</v>
      </c>
      <c r="E181" s="10" t="s">
        <v>14</v>
      </c>
      <c r="F181" s="10">
        <v>28.0</v>
      </c>
      <c r="G181" s="11">
        <f t="shared" si="3"/>
        <v>2.668571429</v>
      </c>
      <c r="H181" s="10" t="s">
        <v>15</v>
      </c>
      <c r="I181" s="12">
        <v>6.0688610828E10</v>
      </c>
      <c r="J181" s="16"/>
      <c r="K181" s="14"/>
      <c r="L181" s="15" t="b">
        <v>0</v>
      </c>
    </row>
    <row r="182" ht="15.75" customHeight="1">
      <c r="A182" s="10" t="s">
        <v>220</v>
      </c>
      <c r="B182" s="10" t="s">
        <v>93</v>
      </c>
      <c r="C182" s="10">
        <v>13.58</v>
      </c>
      <c r="D182" s="10" t="s">
        <v>13</v>
      </c>
      <c r="E182" s="10" t="s">
        <v>14</v>
      </c>
      <c r="F182" s="10">
        <v>4.0</v>
      </c>
      <c r="G182" s="11">
        <f t="shared" si="3"/>
        <v>3.395</v>
      </c>
      <c r="H182" s="10" t="s">
        <v>15</v>
      </c>
      <c r="I182" s="12">
        <v>7.6165790241E10</v>
      </c>
      <c r="J182" s="16"/>
      <c r="K182" s="14"/>
      <c r="L182" s="15" t="b">
        <v>0</v>
      </c>
    </row>
    <row r="183" ht="15.75" customHeight="1">
      <c r="A183" s="10" t="s">
        <v>221</v>
      </c>
      <c r="B183" s="10" t="s">
        <v>93</v>
      </c>
      <c r="C183" s="10">
        <v>46.66</v>
      </c>
      <c r="D183" s="10" t="s">
        <v>13</v>
      </c>
      <c r="E183" s="10" t="s">
        <v>14</v>
      </c>
      <c r="F183" s="10">
        <v>20.0</v>
      </c>
      <c r="G183" s="11">
        <f t="shared" si="3"/>
        <v>2.333</v>
      </c>
      <c r="H183" s="10" t="s">
        <v>15</v>
      </c>
      <c r="I183" s="12">
        <v>7.606950045E10</v>
      </c>
      <c r="J183" s="16"/>
      <c r="K183" s="14"/>
      <c r="L183" s="15" t="b">
        <v>0</v>
      </c>
    </row>
    <row r="184" ht="15.75" customHeight="1">
      <c r="A184" s="10" t="s">
        <v>222</v>
      </c>
      <c r="B184" s="10" t="s">
        <v>93</v>
      </c>
      <c r="C184" s="10">
        <v>47.47</v>
      </c>
      <c r="D184" s="10" t="s">
        <v>13</v>
      </c>
      <c r="E184" s="10" t="s">
        <v>14</v>
      </c>
      <c r="F184" s="10">
        <v>20.0</v>
      </c>
      <c r="G184" s="11">
        <f t="shared" si="3"/>
        <v>2.3735</v>
      </c>
      <c r="H184" s="10" t="s">
        <v>15</v>
      </c>
      <c r="I184" s="12">
        <v>7.6069500868E10</v>
      </c>
      <c r="J184" s="16"/>
      <c r="K184" s="14"/>
      <c r="L184" s="15" t="b">
        <v>0</v>
      </c>
    </row>
    <row r="185" ht="15.75" customHeight="1">
      <c r="A185" s="10" t="s">
        <v>223</v>
      </c>
      <c r="B185" s="10" t="s">
        <v>93</v>
      </c>
      <c r="C185" s="10">
        <v>5.74</v>
      </c>
      <c r="D185" s="10" t="s">
        <v>13</v>
      </c>
      <c r="E185" s="10" t="s">
        <v>14</v>
      </c>
      <c r="F185" s="10">
        <v>1.0</v>
      </c>
      <c r="G185" s="11">
        <f t="shared" si="3"/>
        <v>5.74</v>
      </c>
      <c r="H185" s="10" t="s">
        <v>15</v>
      </c>
      <c r="I185" s="12">
        <v>2.078209E10</v>
      </c>
      <c r="J185" s="16"/>
      <c r="K185" s="14"/>
      <c r="L185" s="15" t="b">
        <v>0</v>
      </c>
    </row>
    <row r="186" ht="15.75" customHeight="1">
      <c r="A186" s="10" t="s">
        <v>224</v>
      </c>
      <c r="B186" s="10" t="s">
        <v>93</v>
      </c>
      <c r="C186" s="10">
        <v>37.38</v>
      </c>
      <c r="D186" s="10" t="s">
        <v>13</v>
      </c>
      <c r="E186" s="10" t="s">
        <v>14</v>
      </c>
      <c r="F186" s="10">
        <v>6.0</v>
      </c>
      <c r="G186" s="11">
        <f t="shared" si="3"/>
        <v>6.23</v>
      </c>
      <c r="H186" s="10" t="s">
        <v>15</v>
      </c>
      <c r="I186" s="12">
        <v>2.025055E10</v>
      </c>
      <c r="J186" s="16"/>
      <c r="K186" s="14"/>
      <c r="L186" s="15" t="b">
        <v>0</v>
      </c>
    </row>
    <row r="187" ht="15.75" customHeight="1">
      <c r="A187" s="10" t="s">
        <v>225</v>
      </c>
      <c r="B187" s="10" t="s">
        <v>93</v>
      </c>
      <c r="C187" s="10">
        <v>11.49</v>
      </c>
      <c r="D187" s="10" t="s">
        <v>13</v>
      </c>
      <c r="E187" s="10" t="s">
        <v>14</v>
      </c>
      <c r="F187" s="10">
        <v>1.0</v>
      </c>
      <c r="G187" s="11">
        <f t="shared" si="3"/>
        <v>11.49</v>
      </c>
      <c r="H187" s="10" t="s">
        <v>15</v>
      </c>
      <c r="I187" s="12">
        <v>2.070015E10</v>
      </c>
      <c r="J187" s="16"/>
      <c r="K187" s="14"/>
      <c r="L187" s="15" t="b">
        <v>0</v>
      </c>
    </row>
    <row r="188" ht="15.75" customHeight="1">
      <c r="A188" s="10" t="s">
        <v>226</v>
      </c>
      <c r="B188" s="10" t="s">
        <v>93</v>
      </c>
      <c r="C188" s="10">
        <v>13.71</v>
      </c>
      <c r="D188" s="10" t="s">
        <v>13</v>
      </c>
      <c r="E188" s="10" t="s">
        <v>14</v>
      </c>
      <c r="F188" s="10">
        <v>5.0</v>
      </c>
      <c r="G188" s="11">
        <f t="shared" si="3"/>
        <v>2.742</v>
      </c>
      <c r="H188" s="10" t="s">
        <v>15</v>
      </c>
      <c r="I188" s="12">
        <v>7.6069501362E10</v>
      </c>
      <c r="J188" s="16"/>
      <c r="K188" s="14"/>
      <c r="L188" s="15" t="b">
        <v>0</v>
      </c>
    </row>
    <row r="189" ht="15.75" customHeight="1">
      <c r="A189" s="10" t="s">
        <v>227</v>
      </c>
      <c r="B189" s="10" t="s">
        <v>93</v>
      </c>
      <c r="C189" s="10">
        <v>12.15</v>
      </c>
      <c r="D189" s="10" t="s">
        <v>13</v>
      </c>
      <c r="E189" s="10" t="s">
        <v>14</v>
      </c>
      <c r="F189" s="10">
        <v>5.0</v>
      </c>
      <c r="G189" s="11">
        <f t="shared" si="3"/>
        <v>2.43</v>
      </c>
      <c r="H189" s="10" t="s">
        <v>15</v>
      </c>
      <c r="I189" s="12">
        <v>2.07567E10</v>
      </c>
      <c r="J189" s="16"/>
      <c r="K189" s="14"/>
      <c r="L189" s="15" t="b">
        <v>0</v>
      </c>
    </row>
    <row r="190" ht="15.75" customHeight="1">
      <c r="A190" s="10"/>
      <c r="B190" s="10"/>
      <c r="C190" s="10"/>
      <c r="D190" s="10"/>
      <c r="E190" s="10"/>
      <c r="F190" s="10"/>
      <c r="G190" s="11" t="str">
        <f t="shared" si="3"/>
        <v>#DIV/0!</v>
      </c>
      <c r="H190" s="10"/>
      <c r="I190" s="12"/>
      <c r="J190" s="16"/>
      <c r="K190" s="14"/>
      <c r="L190" s="15" t="b">
        <v>0</v>
      </c>
    </row>
    <row r="191" ht="15.75" customHeight="1">
      <c r="A191" s="10"/>
      <c r="B191" s="10"/>
      <c r="C191" s="10"/>
      <c r="D191" s="10"/>
      <c r="E191" s="10"/>
      <c r="F191" s="10"/>
      <c r="G191" s="11" t="str">
        <f t="shared" si="3"/>
        <v>#DIV/0!</v>
      </c>
      <c r="H191" s="10"/>
      <c r="I191" s="12"/>
      <c r="J191" s="16"/>
      <c r="K191" s="14"/>
      <c r="L191" s="15" t="b">
        <v>0</v>
      </c>
    </row>
    <row r="192" ht="15.75" customHeight="1">
      <c r="A192" s="10" t="s">
        <v>228</v>
      </c>
      <c r="B192" s="10" t="s">
        <v>107</v>
      </c>
      <c r="C192" s="10">
        <v>33.73</v>
      </c>
      <c r="D192" s="10" t="s">
        <v>99</v>
      </c>
      <c r="E192" s="10" t="s">
        <v>82</v>
      </c>
      <c r="F192" s="10">
        <v>160.0</v>
      </c>
      <c r="G192" s="11">
        <f t="shared" si="3"/>
        <v>0.2108125</v>
      </c>
      <c r="H192" s="10" t="s">
        <v>15</v>
      </c>
      <c r="I192" s="12">
        <v>7.6069500261E10</v>
      </c>
      <c r="J192" s="16"/>
      <c r="K192" s="14"/>
      <c r="L192" s="15" t="b">
        <v>0</v>
      </c>
    </row>
    <row r="193" ht="15.75" customHeight="1">
      <c r="A193" s="10" t="s">
        <v>229</v>
      </c>
      <c r="B193" s="10" t="s">
        <v>107</v>
      </c>
      <c r="C193" s="10">
        <v>12.16</v>
      </c>
      <c r="D193" s="10" t="s">
        <v>13</v>
      </c>
      <c r="E193" s="10" t="s">
        <v>90</v>
      </c>
      <c r="F193" s="10">
        <v>1.5</v>
      </c>
      <c r="G193" s="11">
        <f t="shared" si="3"/>
        <v>8.106666667</v>
      </c>
      <c r="H193" s="10" t="s">
        <v>15</v>
      </c>
      <c r="I193" s="12">
        <v>4.12247171E9</v>
      </c>
      <c r="J193" s="16"/>
      <c r="K193" s="14"/>
      <c r="L193" s="15" t="b">
        <v>0</v>
      </c>
    </row>
    <row r="194" ht="15.75" customHeight="1">
      <c r="A194" s="10" t="s">
        <v>230</v>
      </c>
      <c r="B194" s="15"/>
      <c r="D194" s="15"/>
      <c r="E194" s="10"/>
      <c r="G194" s="11" t="str">
        <f t="shared" si="3"/>
        <v>#DIV/0!</v>
      </c>
      <c r="H194" s="15"/>
      <c r="J194" s="16"/>
      <c r="K194" s="14"/>
      <c r="L194" s="15" t="b">
        <v>0</v>
      </c>
    </row>
    <row r="195" ht="15.75" customHeight="1">
      <c r="A195" s="10" t="s">
        <v>231</v>
      </c>
      <c r="B195" s="15"/>
      <c r="D195" s="15"/>
      <c r="E195" s="10"/>
      <c r="G195" s="11" t="str">
        <f t="shared" si="3"/>
        <v>#DIV/0!</v>
      </c>
      <c r="H195" s="15"/>
      <c r="J195" s="16"/>
      <c r="K195" s="14"/>
      <c r="L195" s="15" t="b">
        <v>0</v>
      </c>
    </row>
    <row r="196" ht="15.75" customHeight="1">
      <c r="A196" s="10" t="s">
        <v>232</v>
      </c>
      <c r="B196" s="10" t="s">
        <v>119</v>
      </c>
      <c r="C196" s="10">
        <v>5.69</v>
      </c>
      <c r="D196" s="10" t="s">
        <v>13</v>
      </c>
      <c r="E196" s="10" t="s">
        <v>14</v>
      </c>
      <c r="F196" s="10">
        <v>1.0</v>
      </c>
      <c r="G196" s="11">
        <f t="shared" si="3"/>
        <v>5.69</v>
      </c>
      <c r="H196" s="10" t="s">
        <v>15</v>
      </c>
      <c r="I196" s="12">
        <v>6.1070809794E10</v>
      </c>
      <c r="J196" s="16"/>
      <c r="K196" s="14"/>
      <c r="L196" s="15" t="b">
        <v>0</v>
      </c>
    </row>
    <row r="197" ht="15.75" customHeight="1">
      <c r="A197" s="10" t="s">
        <v>233</v>
      </c>
      <c r="B197" s="10" t="s">
        <v>119</v>
      </c>
      <c r="C197" s="10">
        <v>11.84</v>
      </c>
      <c r="D197" s="10" t="s">
        <v>13</v>
      </c>
      <c r="E197" s="10" t="s">
        <v>14</v>
      </c>
      <c r="F197" s="10">
        <v>1.0</v>
      </c>
      <c r="G197" s="11">
        <f t="shared" si="3"/>
        <v>11.84</v>
      </c>
      <c r="H197" s="10" t="s">
        <v>15</v>
      </c>
      <c r="I197" s="12">
        <v>8.5434200405E10</v>
      </c>
      <c r="J197" s="16"/>
      <c r="K197" s="14"/>
      <c r="L197" s="15" t="b">
        <v>0</v>
      </c>
    </row>
    <row r="198" ht="15.75" customHeight="1">
      <c r="A198" s="15" t="s">
        <v>234</v>
      </c>
      <c r="B198" s="15"/>
      <c r="D198" s="15"/>
      <c r="E198" s="10"/>
      <c r="G198" s="11" t="str">
        <f t="shared" si="3"/>
        <v>#DIV/0!</v>
      </c>
      <c r="H198" s="15"/>
      <c r="J198" s="16"/>
      <c r="K198" s="14"/>
      <c r="L198" s="15" t="b">
        <v>0</v>
      </c>
    </row>
    <row r="199" ht="15.75" customHeight="1">
      <c r="A199" s="15" t="s">
        <v>234</v>
      </c>
      <c r="B199" s="15"/>
      <c r="D199" s="15"/>
      <c r="E199" s="10" t="s">
        <v>14</v>
      </c>
      <c r="G199" s="11" t="str">
        <f t="shared" si="3"/>
        <v>#DIV/0!</v>
      </c>
      <c r="H199" s="15"/>
      <c r="J199" s="16"/>
      <c r="K199" s="14"/>
      <c r="L199" s="15" t="b">
        <v>0</v>
      </c>
    </row>
    <row r="200" ht="15.75" customHeight="1">
      <c r="A200" s="15" t="s">
        <v>234</v>
      </c>
      <c r="B200" s="15"/>
      <c r="D200" s="15"/>
      <c r="E200" s="10"/>
      <c r="G200" s="11" t="str">
        <f t="shared" si="3"/>
        <v>#DIV/0!</v>
      </c>
      <c r="H200" s="15"/>
      <c r="J200" s="16"/>
      <c r="K200" s="14"/>
      <c r="L200" s="15" t="b">
        <v>0</v>
      </c>
    </row>
    <row r="201" ht="15.75" customHeight="1">
      <c r="A201" s="15" t="s">
        <v>235</v>
      </c>
      <c r="B201" s="15"/>
      <c r="D201" s="15"/>
      <c r="E201" s="10" t="s">
        <v>14</v>
      </c>
      <c r="G201" s="11" t="str">
        <f t="shared" si="3"/>
        <v>#DIV/0!</v>
      </c>
      <c r="H201" s="15"/>
      <c r="J201" s="16"/>
      <c r="K201" s="14"/>
      <c r="L201" s="15" t="b">
        <v>0</v>
      </c>
    </row>
    <row r="202" ht="15.75" customHeight="1">
      <c r="A202" s="15" t="s">
        <v>236</v>
      </c>
      <c r="B202" s="15"/>
      <c r="D202" s="15"/>
      <c r="E202" s="10" t="s">
        <v>14</v>
      </c>
      <c r="G202" s="11" t="str">
        <f t="shared" si="3"/>
        <v>#DIV/0!</v>
      </c>
      <c r="H202" s="15"/>
      <c r="J202" s="16"/>
      <c r="K202" s="14"/>
      <c r="L202" s="15" t="b">
        <v>0</v>
      </c>
    </row>
    <row r="203" ht="15.75" customHeight="1">
      <c r="A203" s="15" t="s">
        <v>237</v>
      </c>
      <c r="B203" s="15"/>
      <c r="D203" s="15"/>
      <c r="E203" s="10" t="s">
        <v>14</v>
      </c>
      <c r="G203" s="11" t="str">
        <f t="shared" si="3"/>
        <v>#DIV/0!</v>
      </c>
      <c r="H203" s="15"/>
      <c r="J203" s="16"/>
      <c r="K203" s="14"/>
      <c r="L203" s="15" t="b">
        <v>0</v>
      </c>
    </row>
    <row r="204" ht="15.75" customHeight="1">
      <c r="A204" s="15" t="s">
        <v>238</v>
      </c>
      <c r="B204" s="15"/>
      <c r="D204" s="15"/>
      <c r="E204" s="10" t="s">
        <v>14</v>
      </c>
      <c r="G204" s="11" t="str">
        <f t="shared" si="3"/>
        <v>#DIV/0!</v>
      </c>
      <c r="H204" s="15"/>
      <c r="J204" s="16"/>
      <c r="K204" s="14"/>
      <c r="L204" s="15" t="b">
        <v>0</v>
      </c>
    </row>
    <row r="205" ht="15.75" customHeight="1">
      <c r="A205" s="15" t="s">
        <v>239</v>
      </c>
      <c r="B205" s="15"/>
      <c r="D205" s="15"/>
      <c r="E205" s="10" t="s">
        <v>14</v>
      </c>
      <c r="G205" s="11" t="str">
        <f t="shared" si="3"/>
        <v>#DIV/0!</v>
      </c>
      <c r="H205" s="15"/>
      <c r="J205" s="16"/>
      <c r="K205" s="14"/>
      <c r="L205" s="15" t="b">
        <v>0</v>
      </c>
    </row>
    <row r="206" ht="15.75" customHeight="1">
      <c r="A206" s="15" t="s">
        <v>240</v>
      </c>
      <c r="B206" s="15"/>
      <c r="D206" s="15"/>
      <c r="E206" s="10" t="s">
        <v>14</v>
      </c>
      <c r="G206" s="11" t="str">
        <f t="shared" si="3"/>
        <v>#DIV/0!</v>
      </c>
      <c r="H206" s="15"/>
      <c r="J206" s="16"/>
      <c r="K206" s="14"/>
      <c r="L206" s="15" t="b">
        <v>0</v>
      </c>
    </row>
    <row r="207" ht="15.75" customHeight="1">
      <c r="A207" s="15" t="s">
        <v>241</v>
      </c>
      <c r="B207" s="15"/>
      <c r="D207" s="15"/>
      <c r="E207" s="10" t="s">
        <v>14</v>
      </c>
      <c r="G207" s="11" t="str">
        <f t="shared" si="3"/>
        <v>#DIV/0!</v>
      </c>
      <c r="H207" s="15"/>
      <c r="J207" s="16"/>
      <c r="K207" s="14"/>
      <c r="L207" s="15" t="b">
        <v>0</v>
      </c>
    </row>
    <row r="208" ht="15.75" customHeight="1">
      <c r="A208" s="15" t="s">
        <v>242</v>
      </c>
      <c r="B208" s="15"/>
      <c r="D208" s="15"/>
      <c r="E208" s="10" t="s">
        <v>14</v>
      </c>
      <c r="G208" s="11" t="str">
        <f t="shared" si="3"/>
        <v>#DIV/0!</v>
      </c>
      <c r="H208" s="15"/>
      <c r="J208" s="16"/>
      <c r="K208" s="14"/>
      <c r="L208" s="15" t="b">
        <v>0</v>
      </c>
    </row>
    <row r="209" ht="15.75" customHeight="1">
      <c r="A209" s="10" t="s">
        <v>243</v>
      </c>
      <c r="B209" s="15"/>
      <c r="D209" s="15"/>
      <c r="E209" s="10" t="s">
        <v>14</v>
      </c>
      <c r="G209" s="11" t="str">
        <f t="shared" si="3"/>
        <v>#DIV/0!</v>
      </c>
      <c r="H209" s="15"/>
      <c r="J209" s="16"/>
      <c r="K209" s="14"/>
      <c r="L209" s="15" t="b">
        <v>0</v>
      </c>
    </row>
    <row r="210" ht="15.75" customHeight="1">
      <c r="A210" s="10" t="s">
        <v>244</v>
      </c>
      <c r="B210" s="15"/>
      <c r="D210" s="15"/>
      <c r="E210" s="10" t="s">
        <v>14</v>
      </c>
      <c r="G210" s="11" t="str">
        <f t="shared" si="3"/>
        <v>#DIV/0!</v>
      </c>
      <c r="H210" s="15"/>
      <c r="J210" s="16"/>
      <c r="K210" s="14"/>
      <c r="L210" s="15" t="b">
        <v>0</v>
      </c>
    </row>
    <row r="211" ht="15.75" customHeight="1">
      <c r="A211" s="15" t="s">
        <v>245</v>
      </c>
      <c r="B211" s="15"/>
      <c r="D211" s="15"/>
      <c r="E211" s="10" t="s">
        <v>14</v>
      </c>
      <c r="G211" s="11" t="str">
        <f t="shared" si="3"/>
        <v>#DIV/0!</v>
      </c>
      <c r="H211" s="15"/>
      <c r="J211" s="16"/>
      <c r="K211" s="14"/>
      <c r="L211" s="15" t="b">
        <v>0</v>
      </c>
    </row>
    <row r="212" ht="15.75" customHeight="1">
      <c r="A212" s="10" t="s">
        <v>246</v>
      </c>
      <c r="B212" s="15"/>
      <c r="D212" s="15"/>
      <c r="E212" s="10" t="s">
        <v>14</v>
      </c>
      <c r="G212" s="11" t="str">
        <f t="shared" si="3"/>
        <v>#DIV/0!</v>
      </c>
      <c r="H212" s="15"/>
      <c r="J212" s="16"/>
      <c r="K212" s="14"/>
      <c r="L212" s="15" t="b">
        <v>0</v>
      </c>
    </row>
    <row r="213" ht="15.75" customHeight="1">
      <c r="A213" s="15" t="s">
        <v>247</v>
      </c>
      <c r="B213" s="15"/>
      <c r="D213" s="15"/>
      <c r="E213" s="10" t="s">
        <v>14</v>
      </c>
      <c r="G213" s="11" t="str">
        <f t="shared" si="3"/>
        <v>#DIV/0!</v>
      </c>
      <c r="H213" s="15"/>
      <c r="J213" s="16"/>
      <c r="K213" s="14"/>
      <c r="L213" s="15" t="b">
        <v>0</v>
      </c>
    </row>
    <row r="214" ht="15.75" customHeight="1">
      <c r="A214" s="15" t="s">
        <v>248</v>
      </c>
      <c r="B214" s="15"/>
      <c r="D214" s="15"/>
      <c r="E214" s="10" t="s">
        <v>14</v>
      </c>
      <c r="G214" s="11" t="str">
        <f t="shared" si="3"/>
        <v>#DIV/0!</v>
      </c>
      <c r="H214" s="15"/>
      <c r="J214" s="16"/>
      <c r="K214" s="14"/>
      <c r="L214" s="15" t="b">
        <v>0</v>
      </c>
    </row>
    <row r="215" ht="15.75" customHeight="1">
      <c r="A215" s="10" t="s">
        <v>249</v>
      </c>
      <c r="B215" s="15"/>
      <c r="D215" s="15"/>
      <c r="E215" s="10" t="s">
        <v>14</v>
      </c>
      <c r="G215" s="11" t="str">
        <f t="shared" si="3"/>
        <v>#DIV/0!</v>
      </c>
      <c r="H215" s="15"/>
      <c r="J215" s="16"/>
      <c r="K215" s="14"/>
      <c r="L215" s="15" t="b">
        <v>0</v>
      </c>
    </row>
    <row r="216" ht="15.75" customHeight="1">
      <c r="A216" s="15" t="s">
        <v>250</v>
      </c>
      <c r="B216" s="15"/>
      <c r="D216" s="15"/>
      <c r="E216" s="10" t="s">
        <v>14</v>
      </c>
      <c r="G216" s="11" t="str">
        <f t="shared" si="3"/>
        <v>#DIV/0!</v>
      </c>
      <c r="H216" s="15"/>
      <c r="J216" s="16"/>
      <c r="K216" s="14"/>
      <c r="L216" s="15" t="b">
        <v>0</v>
      </c>
    </row>
    <row r="217" ht="15.75" customHeight="1">
      <c r="A217" s="10" t="s">
        <v>251</v>
      </c>
      <c r="B217" s="15"/>
      <c r="D217" s="15"/>
      <c r="E217" s="10" t="s">
        <v>14</v>
      </c>
      <c r="G217" s="11" t="str">
        <f t="shared" si="3"/>
        <v>#DIV/0!</v>
      </c>
      <c r="H217" s="15"/>
      <c r="J217" s="16"/>
      <c r="K217" s="14"/>
      <c r="L217" s="15" t="b">
        <v>0</v>
      </c>
    </row>
    <row r="218" ht="15.75" customHeight="1">
      <c r="A218" s="10" t="s">
        <v>252</v>
      </c>
      <c r="B218" s="15"/>
      <c r="D218" s="15"/>
      <c r="E218" s="10" t="s">
        <v>14</v>
      </c>
      <c r="G218" s="11" t="str">
        <f t="shared" si="3"/>
        <v>#DIV/0!</v>
      </c>
      <c r="H218" s="15"/>
      <c r="J218" s="16"/>
      <c r="K218" s="14"/>
      <c r="L218" s="15" t="b">
        <v>0</v>
      </c>
    </row>
    <row r="219" ht="15.75" customHeight="1">
      <c r="A219" s="15" t="s">
        <v>253</v>
      </c>
      <c r="B219" s="15"/>
      <c r="D219" s="15"/>
      <c r="E219" s="10" t="s">
        <v>14</v>
      </c>
      <c r="G219" s="11" t="str">
        <f t="shared" si="3"/>
        <v>#DIV/0!</v>
      </c>
      <c r="H219" s="15"/>
      <c r="J219" s="16"/>
      <c r="K219" s="14"/>
      <c r="L219" s="15" t="b">
        <v>0</v>
      </c>
    </row>
    <row r="220" ht="15.75" customHeight="1">
      <c r="A220" s="15" t="s">
        <v>254</v>
      </c>
      <c r="B220" s="15"/>
      <c r="D220" s="15"/>
      <c r="E220" s="10" t="s">
        <v>14</v>
      </c>
      <c r="G220" s="11" t="str">
        <f t="shared" si="3"/>
        <v>#DIV/0!</v>
      </c>
      <c r="H220" s="15"/>
      <c r="J220" s="16"/>
      <c r="K220" s="14"/>
      <c r="L220" s="15" t="b">
        <v>0</v>
      </c>
    </row>
    <row r="221" ht="15.75" customHeight="1">
      <c r="A221" s="15" t="s">
        <v>255</v>
      </c>
      <c r="B221" s="15"/>
      <c r="D221" s="15"/>
      <c r="E221" s="10" t="s">
        <v>14</v>
      </c>
      <c r="G221" s="11" t="str">
        <f t="shared" si="3"/>
        <v>#DIV/0!</v>
      </c>
      <c r="H221" s="15"/>
      <c r="J221" s="16"/>
      <c r="K221" s="14"/>
      <c r="L221" s="15" t="b">
        <v>0</v>
      </c>
    </row>
    <row r="222" ht="15.75" customHeight="1">
      <c r="A222" s="15" t="s">
        <v>256</v>
      </c>
      <c r="B222" s="15"/>
      <c r="D222" s="15"/>
      <c r="E222" s="10" t="s">
        <v>14</v>
      </c>
      <c r="G222" s="11" t="str">
        <f t="shared" si="3"/>
        <v>#DIV/0!</v>
      </c>
      <c r="H222" s="15"/>
      <c r="J222" s="16"/>
      <c r="K222" s="14"/>
      <c r="L222" s="15" t="b">
        <v>0</v>
      </c>
    </row>
    <row r="223" ht="15.75" customHeight="1">
      <c r="A223" s="15" t="s">
        <v>257</v>
      </c>
      <c r="B223" s="15"/>
      <c r="D223" s="15"/>
      <c r="E223" s="10" t="s">
        <v>14</v>
      </c>
      <c r="G223" s="11" t="str">
        <f t="shared" si="3"/>
        <v>#DIV/0!</v>
      </c>
      <c r="H223" s="15"/>
      <c r="J223" s="16"/>
      <c r="K223" s="14"/>
      <c r="L223" s="15" t="b">
        <v>0</v>
      </c>
    </row>
    <row r="224" ht="15.75" customHeight="1">
      <c r="A224" s="15" t="s">
        <v>258</v>
      </c>
      <c r="B224" s="15"/>
      <c r="D224" s="15"/>
      <c r="E224" s="10" t="s">
        <v>14</v>
      </c>
      <c r="G224" s="11" t="str">
        <f t="shared" si="3"/>
        <v>#DIV/0!</v>
      </c>
      <c r="H224" s="15"/>
      <c r="J224" s="16"/>
      <c r="K224" s="14"/>
      <c r="L224" s="15" t="b">
        <v>0</v>
      </c>
    </row>
    <row r="225" ht="15.75" customHeight="1">
      <c r="A225" s="15" t="s">
        <v>259</v>
      </c>
      <c r="B225" s="15"/>
      <c r="D225" s="15"/>
      <c r="E225" s="10" t="s">
        <v>14</v>
      </c>
      <c r="G225" s="11" t="str">
        <f t="shared" si="3"/>
        <v>#DIV/0!</v>
      </c>
      <c r="H225" s="15"/>
      <c r="J225" s="16"/>
      <c r="K225" s="14"/>
      <c r="L225" s="15" t="b">
        <v>0</v>
      </c>
    </row>
    <row r="226" ht="15.75" customHeight="1">
      <c r="A226" s="15" t="s">
        <v>260</v>
      </c>
      <c r="B226" s="15"/>
      <c r="D226" s="15"/>
      <c r="E226" s="10" t="s">
        <v>14</v>
      </c>
      <c r="G226" s="11" t="str">
        <f t="shared" si="3"/>
        <v>#DIV/0!</v>
      </c>
      <c r="H226" s="15"/>
      <c r="J226" s="16"/>
      <c r="K226" s="14"/>
      <c r="L226" s="15" t="b">
        <v>0</v>
      </c>
    </row>
    <row r="227" ht="15.75" customHeight="1">
      <c r="A227" s="15" t="s">
        <v>261</v>
      </c>
      <c r="B227" s="15"/>
      <c r="D227" s="15"/>
      <c r="E227" s="10" t="s">
        <v>14</v>
      </c>
      <c r="G227" s="11" t="str">
        <f t="shared" si="3"/>
        <v>#DIV/0!</v>
      </c>
      <c r="H227" s="15"/>
      <c r="J227" s="16"/>
      <c r="K227" s="14"/>
      <c r="L227" s="15" t="b">
        <v>0</v>
      </c>
    </row>
    <row r="228" ht="15.75" customHeight="1">
      <c r="A228" s="15" t="s">
        <v>262</v>
      </c>
      <c r="B228" s="15"/>
      <c r="D228" s="15"/>
      <c r="E228" s="10" t="s">
        <v>14</v>
      </c>
      <c r="G228" s="11" t="str">
        <f t="shared" si="3"/>
        <v>#DIV/0!</v>
      </c>
      <c r="H228" s="15"/>
      <c r="J228" s="16"/>
      <c r="K228" s="14"/>
      <c r="L228" s="15" t="b">
        <v>0</v>
      </c>
    </row>
    <row r="229" ht="15.75" customHeight="1">
      <c r="A229" s="15" t="s">
        <v>263</v>
      </c>
      <c r="B229" s="15"/>
      <c r="D229" s="15"/>
      <c r="E229" s="10" t="s">
        <v>14</v>
      </c>
      <c r="G229" s="11" t="str">
        <f t="shared" si="3"/>
        <v>#DIV/0!</v>
      </c>
      <c r="H229" s="15"/>
      <c r="J229" s="16"/>
      <c r="K229" s="14"/>
      <c r="L229" s="15" t="b">
        <v>0</v>
      </c>
    </row>
    <row r="230" ht="15.75" customHeight="1">
      <c r="A230" s="15" t="s">
        <v>264</v>
      </c>
      <c r="B230" s="15"/>
      <c r="D230" s="15"/>
      <c r="E230" s="10" t="s">
        <v>14</v>
      </c>
      <c r="G230" s="11" t="str">
        <f t="shared" si="3"/>
        <v>#DIV/0!</v>
      </c>
      <c r="H230" s="15"/>
      <c r="J230" s="16"/>
      <c r="K230" s="14"/>
      <c r="L230" s="15" t="b">
        <v>0</v>
      </c>
    </row>
    <row r="231" ht="15.75" customHeight="1">
      <c r="A231" s="15" t="s">
        <v>265</v>
      </c>
      <c r="B231" s="15"/>
      <c r="D231" s="15"/>
      <c r="E231" s="10" t="s">
        <v>14</v>
      </c>
      <c r="G231" s="11" t="str">
        <f t="shared" si="3"/>
        <v>#DIV/0!</v>
      </c>
      <c r="H231" s="15"/>
      <c r="J231" s="16"/>
      <c r="K231" s="14"/>
      <c r="L231" s="15" t="b">
        <v>0</v>
      </c>
    </row>
    <row r="232" ht="15.75" customHeight="1">
      <c r="A232" s="15" t="s">
        <v>266</v>
      </c>
      <c r="B232" s="15"/>
      <c r="D232" s="15"/>
      <c r="E232" s="10" t="s">
        <v>14</v>
      </c>
      <c r="G232" s="11" t="str">
        <f t="shared" si="3"/>
        <v>#DIV/0!</v>
      </c>
      <c r="H232" s="15"/>
      <c r="J232" s="16"/>
      <c r="K232" s="14"/>
      <c r="L232" s="15" t="b">
        <v>0</v>
      </c>
    </row>
    <row r="233" ht="15.75" customHeight="1">
      <c r="A233" s="15" t="s">
        <v>267</v>
      </c>
      <c r="B233" s="15"/>
      <c r="D233" s="15"/>
      <c r="E233" s="10" t="s">
        <v>14</v>
      </c>
      <c r="G233" s="11" t="str">
        <f t="shared" si="3"/>
        <v>#DIV/0!</v>
      </c>
      <c r="H233" s="15"/>
      <c r="J233" s="16"/>
      <c r="K233" s="14"/>
      <c r="L233" s="15" t="b">
        <v>0</v>
      </c>
    </row>
    <row r="234" ht="15.75" customHeight="1">
      <c r="A234" s="15" t="s">
        <v>268</v>
      </c>
      <c r="B234" s="15"/>
      <c r="D234" s="15"/>
      <c r="E234" s="10" t="s">
        <v>14</v>
      </c>
      <c r="G234" s="11" t="str">
        <f t="shared" si="3"/>
        <v>#DIV/0!</v>
      </c>
      <c r="H234" s="15"/>
      <c r="J234" s="16"/>
      <c r="K234" s="14"/>
      <c r="L234" s="15" t="b">
        <v>0</v>
      </c>
    </row>
    <row r="235" ht="15.75" customHeight="1">
      <c r="A235" s="15" t="s">
        <v>269</v>
      </c>
      <c r="B235" s="15"/>
      <c r="D235" s="15"/>
      <c r="E235" s="10" t="s">
        <v>14</v>
      </c>
      <c r="G235" s="11" t="str">
        <f t="shared" si="3"/>
        <v>#DIV/0!</v>
      </c>
      <c r="H235" s="15"/>
      <c r="J235" s="16"/>
      <c r="K235" s="14"/>
      <c r="L235" s="15" t="b">
        <v>0</v>
      </c>
    </row>
    <row r="236" ht="15.75" customHeight="1">
      <c r="A236" s="15" t="s">
        <v>270</v>
      </c>
      <c r="B236" s="15"/>
      <c r="D236" s="15"/>
      <c r="E236" s="10" t="s">
        <v>14</v>
      </c>
      <c r="G236" s="11" t="str">
        <f t="shared" si="3"/>
        <v>#DIV/0!</v>
      </c>
      <c r="H236" s="15"/>
      <c r="J236" s="16"/>
      <c r="K236" s="14"/>
      <c r="L236" s="15" t="b">
        <v>0</v>
      </c>
    </row>
    <row r="237" ht="15.75" customHeight="1">
      <c r="A237" s="15" t="s">
        <v>271</v>
      </c>
      <c r="B237" s="15"/>
      <c r="D237" s="15"/>
      <c r="E237" s="10" t="s">
        <v>14</v>
      </c>
      <c r="G237" s="11" t="str">
        <f t="shared" si="3"/>
        <v>#DIV/0!</v>
      </c>
      <c r="H237" s="15"/>
      <c r="J237" s="16"/>
      <c r="K237" s="14"/>
      <c r="L237" s="15" t="b">
        <v>0</v>
      </c>
    </row>
    <row r="238" ht="15.75" customHeight="1">
      <c r="A238" s="15" t="s">
        <v>272</v>
      </c>
      <c r="B238" s="15"/>
      <c r="D238" s="15"/>
      <c r="E238" s="10" t="s">
        <v>14</v>
      </c>
      <c r="G238" s="11" t="str">
        <f t="shared" si="3"/>
        <v>#DIV/0!</v>
      </c>
      <c r="H238" s="15"/>
      <c r="J238" s="16"/>
      <c r="K238" s="14"/>
      <c r="L238" s="15" t="b">
        <v>0</v>
      </c>
    </row>
    <row r="239" ht="15.75" customHeight="1">
      <c r="A239" s="15" t="s">
        <v>273</v>
      </c>
      <c r="B239" s="15"/>
      <c r="D239" s="15"/>
      <c r="E239" s="10" t="s">
        <v>14</v>
      </c>
      <c r="G239" s="11" t="str">
        <f t="shared" si="3"/>
        <v>#DIV/0!</v>
      </c>
      <c r="H239" s="15"/>
      <c r="J239" s="16"/>
      <c r="K239" s="14"/>
      <c r="L239" s="15" t="b">
        <v>0</v>
      </c>
    </row>
    <row r="240" ht="15.75" customHeight="1">
      <c r="A240" s="15" t="s">
        <v>274</v>
      </c>
      <c r="B240" s="15"/>
      <c r="D240" s="15"/>
      <c r="E240" s="10" t="s">
        <v>14</v>
      </c>
      <c r="G240" s="11" t="str">
        <f t="shared" si="3"/>
        <v>#DIV/0!</v>
      </c>
      <c r="H240" s="15"/>
      <c r="J240" s="16"/>
      <c r="K240" s="14"/>
      <c r="L240" s="15" t="b">
        <v>0</v>
      </c>
    </row>
    <row r="241" ht="15.75" customHeight="1">
      <c r="A241" s="15" t="s">
        <v>275</v>
      </c>
      <c r="B241" s="15"/>
      <c r="D241" s="15"/>
      <c r="E241" s="10" t="s">
        <v>14</v>
      </c>
      <c r="G241" s="11" t="str">
        <f t="shared" si="3"/>
        <v>#DIV/0!</v>
      </c>
      <c r="H241" s="15"/>
      <c r="J241" s="16"/>
      <c r="K241" s="14"/>
      <c r="L241" s="15" t="b">
        <v>0</v>
      </c>
    </row>
    <row r="242" ht="15.75" customHeight="1">
      <c r="A242" s="15" t="s">
        <v>276</v>
      </c>
      <c r="B242" s="15"/>
      <c r="D242" s="15"/>
      <c r="E242" s="10" t="s">
        <v>14</v>
      </c>
      <c r="G242" s="11" t="str">
        <f t="shared" si="3"/>
        <v>#DIV/0!</v>
      </c>
      <c r="H242" s="15"/>
      <c r="J242" s="16"/>
      <c r="K242" s="14"/>
      <c r="L242" s="15" t="b">
        <v>0</v>
      </c>
    </row>
    <row r="243" ht="15.75" customHeight="1">
      <c r="A243" s="15" t="s">
        <v>277</v>
      </c>
      <c r="B243" s="15"/>
      <c r="D243" s="15"/>
      <c r="E243" s="10" t="s">
        <v>14</v>
      </c>
      <c r="G243" s="11" t="str">
        <f t="shared" si="3"/>
        <v>#DIV/0!</v>
      </c>
      <c r="H243" s="15"/>
      <c r="J243" s="16"/>
      <c r="K243" s="14"/>
      <c r="L243" s="15" t="b">
        <v>0</v>
      </c>
    </row>
    <row r="244" ht="15.75" customHeight="1">
      <c r="A244" s="15" t="s">
        <v>278</v>
      </c>
      <c r="B244" s="15"/>
      <c r="D244" s="15"/>
      <c r="E244" s="10" t="s">
        <v>14</v>
      </c>
      <c r="G244" s="11" t="str">
        <f t="shared" si="3"/>
        <v>#DIV/0!</v>
      </c>
      <c r="H244" s="15"/>
      <c r="J244" s="16"/>
      <c r="K244" s="14"/>
      <c r="L244" s="15" t="b">
        <v>0</v>
      </c>
    </row>
    <row r="245" ht="15.75" customHeight="1">
      <c r="A245" s="15" t="s">
        <v>279</v>
      </c>
      <c r="B245" s="15"/>
      <c r="D245" s="15"/>
      <c r="E245" s="10" t="s">
        <v>14</v>
      </c>
      <c r="G245" s="11" t="str">
        <f t="shared" si="3"/>
        <v>#DIV/0!</v>
      </c>
      <c r="H245" s="15"/>
      <c r="J245" s="16"/>
      <c r="K245" s="14"/>
      <c r="L245" s="15" t="b">
        <v>0</v>
      </c>
    </row>
    <row r="246" ht="15.75" customHeight="1">
      <c r="A246" s="15" t="s">
        <v>280</v>
      </c>
      <c r="B246" s="15"/>
      <c r="D246" s="15"/>
      <c r="E246" s="10" t="s">
        <v>14</v>
      </c>
      <c r="G246" s="11" t="str">
        <f t="shared" si="3"/>
        <v>#DIV/0!</v>
      </c>
      <c r="H246" s="15"/>
      <c r="J246" s="16"/>
      <c r="K246" s="14"/>
      <c r="L246" s="15" t="b">
        <v>0</v>
      </c>
    </row>
    <row r="247" ht="15.75" customHeight="1">
      <c r="A247" s="15" t="s">
        <v>281</v>
      </c>
      <c r="B247" s="15"/>
      <c r="D247" s="15"/>
      <c r="E247" s="10" t="s">
        <v>14</v>
      </c>
      <c r="G247" s="11" t="str">
        <f t="shared" si="3"/>
        <v>#DIV/0!</v>
      </c>
      <c r="H247" s="15"/>
      <c r="J247" s="16"/>
      <c r="K247" s="14"/>
      <c r="L247" s="15" t="b">
        <v>0</v>
      </c>
    </row>
    <row r="248" ht="15.75" customHeight="1">
      <c r="A248" s="15" t="s">
        <v>282</v>
      </c>
      <c r="B248" s="15"/>
      <c r="D248" s="15"/>
      <c r="E248" s="10" t="s">
        <v>14</v>
      </c>
      <c r="G248" s="11" t="str">
        <f t="shared" si="3"/>
        <v>#DIV/0!</v>
      </c>
      <c r="H248" s="15"/>
      <c r="J248" s="16"/>
      <c r="K248" s="14"/>
      <c r="L248" s="15" t="b">
        <v>0</v>
      </c>
    </row>
    <row r="249" ht="15.75" customHeight="1">
      <c r="A249" s="15" t="s">
        <v>283</v>
      </c>
      <c r="B249" s="15"/>
      <c r="D249" s="15"/>
      <c r="E249" s="10" t="s">
        <v>14</v>
      </c>
      <c r="G249" s="11" t="str">
        <f t="shared" si="3"/>
        <v>#DIV/0!</v>
      </c>
      <c r="H249" s="15"/>
      <c r="J249" s="16"/>
      <c r="K249" s="14"/>
      <c r="L249" s="15" t="b">
        <v>0</v>
      </c>
    </row>
    <row r="250" ht="15.75" customHeight="1">
      <c r="A250" s="15" t="s">
        <v>284</v>
      </c>
      <c r="B250" s="15"/>
      <c r="D250" s="15"/>
      <c r="E250" s="10" t="s">
        <v>14</v>
      </c>
      <c r="G250" s="11" t="str">
        <f t="shared" si="3"/>
        <v>#DIV/0!</v>
      </c>
      <c r="H250" s="15"/>
      <c r="J250" s="16"/>
      <c r="K250" s="14"/>
      <c r="L250" s="15" t="b">
        <v>0</v>
      </c>
    </row>
    <row r="251" ht="15.75" customHeight="1">
      <c r="A251" s="15" t="s">
        <v>285</v>
      </c>
      <c r="B251" s="15"/>
      <c r="D251" s="15"/>
      <c r="E251" s="10" t="s">
        <v>14</v>
      </c>
      <c r="G251" s="11" t="str">
        <f t="shared" si="3"/>
        <v>#DIV/0!</v>
      </c>
      <c r="H251" s="15"/>
      <c r="J251" s="16"/>
      <c r="K251" s="14"/>
      <c r="L251" s="15" t="b">
        <v>0</v>
      </c>
    </row>
    <row r="252" ht="15.75" customHeight="1">
      <c r="A252" s="15" t="s">
        <v>286</v>
      </c>
      <c r="B252" s="15"/>
      <c r="D252" s="15"/>
      <c r="E252" s="10" t="s">
        <v>14</v>
      </c>
      <c r="G252" s="11" t="str">
        <f t="shared" si="3"/>
        <v>#DIV/0!</v>
      </c>
      <c r="H252" s="15"/>
      <c r="J252" s="16"/>
      <c r="K252" s="14"/>
      <c r="L252" s="15" t="b">
        <v>0</v>
      </c>
    </row>
    <row r="253" ht="15.75" customHeight="1">
      <c r="A253" s="15" t="s">
        <v>287</v>
      </c>
      <c r="B253" s="15"/>
      <c r="D253" s="15"/>
      <c r="E253" s="10" t="s">
        <v>14</v>
      </c>
      <c r="G253" s="11" t="str">
        <f t="shared" si="3"/>
        <v>#DIV/0!</v>
      </c>
      <c r="H253" s="15"/>
      <c r="J253" s="16"/>
      <c r="K253" s="14"/>
      <c r="L253" s="15" t="b">
        <v>0</v>
      </c>
    </row>
    <row r="254" ht="15.75" customHeight="1">
      <c r="A254" s="15" t="s">
        <v>288</v>
      </c>
      <c r="B254" s="15"/>
      <c r="D254" s="15"/>
      <c r="E254" s="10" t="s">
        <v>14</v>
      </c>
      <c r="G254" s="11" t="str">
        <f t="shared" si="3"/>
        <v>#DIV/0!</v>
      </c>
      <c r="H254" s="15"/>
      <c r="J254" s="16"/>
      <c r="K254" s="14"/>
      <c r="L254" s="15" t="b">
        <v>0</v>
      </c>
    </row>
    <row r="255" ht="15.75" customHeight="1">
      <c r="A255" s="10" t="s">
        <v>289</v>
      </c>
      <c r="B255" s="10" t="s">
        <v>151</v>
      </c>
      <c r="C255" s="10">
        <v>12.0</v>
      </c>
      <c r="D255" s="10" t="s">
        <v>13</v>
      </c>
      <c r="E255" s="10" t="s">
        <v>44</v>
      </c>
      <c r="F255" s="10">
        <v>15.0</v>
      </c>
      <c r="G255" s="11">
        <f t="shared" si="3"/>
        <v>0.8</v>
      </c>
      <c r="H255" s="10" t="s">
        <v>15</v>
      </c>
      <c r="I255" s="12">
        <v>7.032801002E9</v>
      </c>
      <c r="J255" s="16"/>
      <c r="K255" s="14"/>
      <c r="L255" s="15" t="b">
        <v>0</v>
      </c>
    </row>
    <row r="256" ht="15.75" customHeight="1">
      <c r="A256" s="15" t="s">
        <v>290</v>
      </c>
      <c r="B256" s="15"/>
      <c r="D256" s="15"/>
      <c r="E256" s="10" t="s">
        <v>14</v>
      </c>
      <c r="G256" s="11" t="str">
        <f t="shared" si="3"/>
        <v>#DIV/0!</v>
      </c>
      <c r="H256" s="15"/>
      <c r="J256" s="16"/>
      <c r="K256" s="14"/>
      <c r="L256" s="15" t="b">
        <v>0</v>
      </c>
    </row>
    <row r="257" ht="15.75" customHeight="1">
      <c r="A257" s="15" t="s">
        <v>291</v>
      </c>
      <c r="B257" s="15"/>
      <c r="D257" s="15"/>
      <c r="E257" s="10" t="s">
        <v>14</v>
      </c>
      <c r="G257" s="11" t="str">
        <f t="shared" si="3"/>
        <v>#DIV/0!</v>
      </c>
      <c r="H257" s="15"/>
      <c r="J257" s="16"/>
      <c r="K257" s="14"/>
      <c r="L257" s="15" t="b">
        <v>0</v>
      </c>
    </row>
    <row r="258" ht="15.75" customHeight="1">
      <c r="A258" s="15" t="s">
        <v>292</v>
      </c>
      <c r="B258" s="15"/>
      <c r="D258" s="15"/>
      <c r="E258" s="10" t="s">
        <v>14</v>
      </c>
      <c r="G258" s="11" t="str">
        <f t="shared" si="3"/>
        <v>#DIV/0!</v>
      </c>
      <c r="H258" s="15"/>
      <c r="J258" s="16"/>
      <c r="K258" s="14"/>
      <c r="L258" s="15" t="b">
        <v>0</v>
      </c>
    </row>
    <row r="259" ht="15.75" customHeight="1">
      <c r="A259" s="15" t="s">
        <v>293</v>
      </c>
      <c r="B259" s="15"/>
      <c r="D259" s="15"/>
      <c r="E259" s="10" t="s">
        <v>14</v>
      </c>
      <c r="G259" s="11" t="str">
        <f t="shared" si="3"/>
        <v>#DIV/0!</v>
      </c>
      <c r="H259" s="15"/>
      <c r="J259" s="16"/>
      <c r="K259" s="14"/>
      <c r="L259" s="15" t="b">
        <v>0</v>
      </c>
    </row>
    <row r="260" ht="15.75" customHeight="1">
      <c r="A260" s="15" t="s">
        <v>294</v>
      </c>
      <c r="B260" s="15"/>
      <c r="D260" s="15"/>
      <c r="E260" s="10" t="s">
        <v>14</v>
      </c>
      <c r="G260" s="11" t="str">
        <f t="shared" si="3"/>
        <v>#DIV/0!</v>
      </c>
      <c r="H260" s="15"/>
      <c r="J260" s="16"/>
      <c r="K260" s="14"/>
      <c r="L260" s="15" t="b">
        <v>0</v>
      </c>
    </row>
    <row r="261" ht="15.75" customHeight="1">
      <c r="A261" s="15" t="s">
        <v>295</v>
      </c>
      <c r="B261" s="15"/>
      <c r="D261" s="15"/>
      <c r="E261" s="10" t="s">
        <v>14</v>
      </c>
      <c r="G261" s="11" t="str">
        <f t="shared" si="3"/>
        <v>#DIV/0!</v>
      </c>
      <c r="H261" s="15"/>
      <c r="J261" s="16"/>
      <c r="K261" s="14"/>
      <c r="L261" s="15" t="b">
        <v>0</v>
      </c>
    </row>
    <row r="262" ht="15.75" customHeight="1">
      <c r="A262" s="15" t="s">
        <v>296</v>
      </c>
      <c r="B262" s="15"/>
      <c r="D262" s="15"/>
      <c r="E262" s="10" t="s">
        <v>14</v>
      </c>
      <c r="G262" s="11" t="str">
        <f t="shared" si="3"/>
        <v>#DIV/0!</v>
      </c>
      <c r="H262" s="15"/>
      <c r="J262" s="16"/>
      <c r="K262" s="14"/>
      <c r="L262" s="15" t="b">
        <v>0</v>
      </c>
    </row>
    <row r="263" ht="15.75" customHeight="1">
      <c r="A263" s="15" t="s">
        <v>297</v>
      </c>
      <c r="B263" s="15"/>
      <c r="D263" s="15"/>
      <c r="E263" s="10" t="s">
        <v>14</v>
      </c>
      <c r="G263" s="11" t="str">
        <f t="shared" si="3"/>
        <v>#DIV/0!</v>
      </c>
      <c r="H263" s="15"/>
      <c r="J263" s="16"/>
      <c r="K263" s="14"/>
      <c r="L263" s="15" t="b">
        <v>0</v>
      </c>
    </row>
    <row r="264" ht="15.75" customHeight="1">
      <c r="A264" s="15" t="s">
        <v>298</v>
      </c>
      <c r="B264" s="15"/>
      <c r="D264" s="15"/>
      <c r="E264" s="10" t="s">
        <v>14</v>
      </c>
      <c r="G264" s="11" t="str">
        <f t="shared" si="3"/>
        <v>#DIV/0!</v>
      </c>
      <c r="H264" s="15"/>
      <c r="J264" s="16"/>
      <c r="K264" s="14"/>
      <c r="L264" s="15" t="b">
        <v>0</v>
      </c>
    </row>
    <row r="265" ht="15.75" customHeight="1">
      <c r="A265" s="15" t="s">
        <v>299</v>
      </c>
      <c r="B265" s="15"/>
      <c r="D265" s="15"/>
      <c r="E265" s="10" t="s">
        <v>14</v>
      </c>
      <c r="G265" s="11" t="str">
        <f t="shared" si="3"/>
        <v>#DIV/0!</v>
      </c>
      <c r="H265" s="15"/>
      <c r="J265" s="16"/>
      <c r="K265" s="14"/>
      <c r="L265" s="15" t="b">
        <v>0</v>
      </c>
    </row>
    <row r="266" ht="15.75" customHeight="1">
      <c r="A266" s="15" t="s">
        <v>300</v>
      </c>
      <c r="B266" s="15"/>
      <c r="D266" s="15"/>
      <c r="E266" s="10" t="s">
        <v>14</v>
      </c>
      <c r="G266" s="11" t="str">
        <f t="shared" si="3"/>
        <v>#DIV/0!</v>
      </c>
      <c r="H266" s="15"/>
      <c r="J266" s="16"/>
      <c r="K266" s="14"/>
      <c r="L266" s="15" t="b">
        <v>0</v>
      </c>
    </row>
    <row r="267" ht="15.75" customHeight="1">
      <c r="A267" s="15" t="s">
        <v>301</v>
      </c>
      <c r="B267" s="15"/>
      <c r="D267" s="15"/>
      <c r="E267" s="10" t="s">
        <v>14</v>
      </c>
      <c r="G267" s="11" t="str">
        <f t="shared" si="3"/>
        <v>#DIV/0!</v>
      </c>
      <c r="H267" s="15"/>
      <c r="J267" s="16"/>
      <c r="K267" s="14"/>
      <c r="L267" s="15" t="b">
        <v>0</v>
      </c>
    </row>
    <row r="268" ht="15.75" customHeight="1">
      <c r="A268" s="15" t="s">
        <v>302</v>
      </c>
      <c r="B268" s="15"/>
      <c r="D268" s="15"/>
      <c r="E268" s="10" t="s">
        <v>14</v>
      </c>
      <c r="G268" s="11" t="str">
        <f t="shared" si="3"/>
        <v>#DIV/0!</v>
      </c>
      <c r="H268" s="15"/>
      <c r="J268" s="16"/>
      <c r="K268" s="14"/>
      <c r="L268" s="15" t="b">
        <v>0</v>
      </c>
    </row>
    <row r="269" ht="15.75" customHeight="1">
      <c r="A269" s="15" t="s">
        <v>303</v>
      </c>
      <c r="B269" s="15"/>
      <c r="D269" s="15"/>
      <c r="E269" s="10" t="s">
        <v>14</v>
      </c>
      <c r="G269" s="11" t="str">
        <f t="shared" si="3"/>
        <v>#DIV/0!</v>
      </c>
      <c r="H269" s="15"/>
      <c r="J269" s="16"/>
      <c r="K269" s="14"/>
      <c r="L269" s="15" t="b">
        <v>0</v>
      </c>
    </row>
    <row r="270" ht="15.75" customHeight="1">
      <c r="A270" s="15" t="s">
        <v>304</v>
      </c>
      <c r="B270" s="15"/>
      <c r="D270" s="15"/>
      <c r="E270" s="10" t="s">
        <v>14</v>
      </c>
      <c r="G270" s="11" t="str">
        <f t="shared" si="3"/>
        <v>#DIV/0!</v>
      </c>
      <c r="H270" s="15"/>
      <c r="J270" s="16"/>
      <c r="K270" s="14"/>
      <c r="L270" s="15" t="b">
        <v>0</v>
      </c>
    </row>
    <row r="271" ht="15.75" customHeight="1">
      <c r="A271" s="15" t="s">
        <v>305</v>
      </c>
      <c r="B271" s="15"/>
      <c r="D271" s="15"/>
      <c r="E271" s="10" t="s">
        <v>14</v>
      </c>
      <c r="G271" s="11" t="str">
        <f t="shared" si="3"/>
        <v>#DIV/0!</v>
      </c>
      <c r="H271" s="15"/>
      <c r="J271" s="16"/>
      <c r="K271" s="14"/>
      <c r="L271" s="15" t="b">
        <v>0</v>
      </c>
    </row>
    <row r="272" ht="15.75" customHeight="1">
      <c r="A272" s="15" t="s">
        <v>306</v>
      </c>
      <c r="B272" s="15"/>
      <c r="D272" s="15"/>
      <c r="E272" s="10" t="s">
        <v>14</v>
      </c>
      <c r="G272" s="11" t="str">
        <f t="shared" si="3"/>
        <v>#DIV/0!</v>
      </c>
      <c r="H272" s="15"/>
      <c r="J272" s="16"/>
      <c r="K272" s="14"/>
      <c r="L272" s="15" t="b">
        <v>0</v>
      </c>
    </row>
    <row r="273" ht="15.75" customHeight="1">
      <c r="A273" s="15" t="s">
        <v>307</v>
      </c>
      <c r="B273" s="15"/>
      <c r="D273" s="15"/>
      <c r="E273" s="10" t="s">
        <v>14</v>
      </c>
      <c r="G273" s="11" t="str">
        <f t="shared" si="3"/>
        <v>#DIV/0!</v>
      </c>
      <c r="H273" s="15"/>
      <c r="J273" s="16"/>
      <c r="K273" s="14"/>
      <c r="L273" s="15" t="b">
        <v>0</v>
      </c>
    </row>
    <row r="274" ht="15.75" customHeight="1">
      <c r="A274" s="15" t="s">
        <v>308</v>
      </c>
      <c r="B274" s="15"/>
      <c r="D274" s="15"/>
      <c r="E274" s="10" t="s">
        <v>14</v>
      </c>
      <c r="G274" s="11" t="str">
        <f t="shared" si="3"/>
        <v>#DIV/0!</v>
      </c>
      <c r="H274" s="15"/>
      <c r="J274" s="16"/>
      <c r="K274" s="14"/>
      <c r="L274" s="15" t="b">
        <v>0</v>
      </c>
    </row>
    <row r="275" ht="15.75" customHeight="1">
      <c r="A275" s="15" t="s">
        <v>309</v>
      </c>
      <c r="B275" s="15"/>
      <c r="D275" s="15"/>
      <c r="E275" s="10" t="s">
        <v>14</v>
      </c>
      <c r="G275" s="11" t="str">
        <f t="shared" si="3"/>
        <v>#DIV/0!</v>
      </c>
      <c r="H275" s="15"/>
      <c r="J275" s="16"/>
      <c r="K275" s="14"/>
      <c r="L275" s="15" t="b">
        <v>0</v>
      </c>
    </row>
    <row r="276" ht="15.75" customHeight="1">
      <c r="A276" s="15" t="s">
        <v>310</v>
      </c>
      <c r="B276" s="15"/>
      <c r="D276" s="15"/>
      <c r="E276" s="10" t="s">
        <v>14</v>
      </c>
      <c r="G276" s="11" t="str">
        <f t="shared" si="3"/>
        <v>#DIV/0!</v>
      </c>
      <c r="H276" s="15"/>
      <c r="J276" s="16"/>
      <c r="K276" s="14"/>
      <c r="L276" s="15" t="b">
        <v>0</v>
      </c>
    </row>
    <row r="277" ht="15.75" customHeight="1">
      <c r="A277" s="15" t="s">
        <v>311</v>
      </c>
      <c r="B277" s="15"/>
      <c r="D277" s="15"/>
      <c r="E277" s="10" t="s">
        <v>14</v>
      </c>
      <c r="G277" s="11" t="str">
        <f t="shared" si="3"/>
        <v>#DIV/0!</v>
      </c>
      <c r="H277" s="15"/>
      <c r="J277" s="16"/>
      <c r="K277" s="14"/>
      <c r="L277" s="15" t="b">
        <v>0</v>
      </c>
    </row>
    <row r="278" ht="15.75" customHeight="1">
      <c r="A278" s="15" t="s">
        <v>312</v>
      </c>
      <c r="B278" s="15"/>
      <c r="D278" s="15"/>
      <c r="E278" s="10" t="s">
        <v>14</v>
      </c>
      <c r="G278" s="11" t="str">
        <f t="shared" si="3"/>
        <v>#DIV/0!</v>
      </c>
      <c r="H278" s="15"/>
      <c r="J278" s="16"/>
      <c r="K278" s="14"/>
      <c r="L278" s="15" t="b">
        <v>0</v>
      </c>
    </row>
    <row r="279" ht="15.75" customHeight="1">
      <c r="A279" s="15" t="s">
        <v>313</v>
      </c>
      <c r="B279" s="15"/>
      <c r="D279" s="15"/>
      <c r="E279" s="10" t="s">
        <v>14</v>
      </c>
      <c r="G279" s="11" t="str">
        <f t="shared" si="3"/>
        <v>#DIV/0!</v>
      </c>
      <c r="H279" s="15"/>
      <c r="J279" s="16"/>
      <c r="K279" s="14"/>
      <c r="L279" s="15" t="b">
        <v>0</v>
      </c>
    </row>
    <row r="280" ht="15.75" customHeight="1">
      <c r="A280" s="15" t="s">
        <v>314</v>
      </c>
      <c r="B280" s="15"/>
      <c r="D280" s="15"/>
      <c r="E280" s="10" t="s">
        <v>14</v>
      </c>
      <c r="G280" s="11" t="str">
        <f t="shared" si="3"/>
        <v>#DIV/0!</v>
      </c>
      <c r="H280" s="15"/>
      <c r="J280" s="16"/>
      <c r="K280" s="14"/>
      <c r="L280" s="15" t="b">
        <v>0</v>
      </c>
    </row>
    <row r="281" ht="15.75" customHeight="1">
      <c r="A281" s="15" t="s">
        <v>315</v>
      </c>
      <c r="B281" s="15"/>
      <c r="D281" s="15"/>
      <c r="E281" s="10" t="s">
        <v>14</v>
      </c>
      <c r="G281" s="11" t="str">
        <f t="shared" si="3"/>
        <v>#DIV/0!</v>
      </c>
      <c r="H281" s="15"/>
      <c r="J281" s="16"/>
      <c r="K281" s="14"/>
      <c r="L281" s="15" t="b">
        <v>0</v>
      </c>
    </row>
    <row r="282" ht="15.75" customHeight="1">
      <c r="A282" s="15" t="s">
        <v>316</v>
      </c>
      <c r="B282" s="15"/>
      <c r="D282" s="15"/>
      <c r="E282" s="10" t="s">
        <v>14</v>
      </c>
      <c r="G282" s="11" t="str">
        <f t="shared" si="3"/>
        <v>#DIV/0!</v>
      </c>
      <c r="H282" s="15"/>
      <c r="J282" s="16"/>
      <c r="K282" s="14"/>
      <c r="L282" s="15" t="b">
        <v>0</v>
      </c>
    </row>
    <row r="283" ht="15.75" customHeight="1">
      <c r="A283" s="15" t="s">
        <v>317</v>
      </c>
      <c r="B283" s="15"/>
      <c r="D283" s="15"/>
      <c r="E283" s="10" t="s">
        <v>14</v>
      </c>
      <c r="G283" s="11" t="str">
        <f t="shared" si="3"/>
        <v>#DIV/0!</v>
      </c>
      <c r="H283" s="15"/>
      <c r="J283" s="16"/>
      <c r="K283" s="14"/>
      <c r="L283" s="15" t="b">
        <v>0</v>
      </c>
    </row>
    <row r="284" ht="15.75" customHeight="1">
      <c r="A284" s="15" t="s">
        <v>318</v>
      </c>
      <c r="B284" s="15"/>
      <c r="D284" s="15"/>
      <c r="E284" s="10" t="s">
        <v>14</v>
      </c>
      <c r="G284" s="11" t="str">
        <f t="shared" si="3"/>
        <v>#DIV/0!</v>
      </c>
      <c r="H284" s="15"/>
      <c r="J284" s="16"/>
      <c r="K284" s="14"/>
      <c r="L284" s="15" t="b">
        <v>0</v>
      </c>
    </row>
    <row r="285" ht="15.75" customHeight="1">
      <c r="A285" s="15" t="s">
        <v>319</v>
      </c>
      <c r="B285" s="15"/>
      <c r="D285" s="15"/>
      <c r="E285" s="10" t="s">
        <v>14</v>
      </c>
      <c r="G285" s="11" t="str">
        <f t="shared" si="3"/>
        <v>#DIV/0!</v>
      </c>
      <c r="H285" s="15"/>
      <c r="J285" s="16"/>
      <c r="K285" s="14"/>
      <c r="L285" s="15" t="b">
        <v>0</v>
      </c>
    </row>
    <row r="286" ht="15.75" customHeight="1">
      <c r="A286" s="15" t="s">
        <v>320</v>
      </c>
      <c r="B286" s="15"/>
      <c r="D286" s="15"/>
      <c r="E286" s="10" t="s">
        <v>14</v>
      </c>
      <c r="G286" s="11" t="str">
        <f t="shared" si="3"/>
        <v>#DIV/0!</v>
      </c>
      <c r="H286" s="15"/>
      <c r="J286" s="16"/>
      <c r="K286" s="14"/>
      <c r="L286" s="15" t="b">
        <v>0</v>
      </c>
    </row>
    <row r="287" ht="15.75" customHeight="1">
      <c r="A287" s="15" t="s">
        <v>321</v>
      </c>
      <c r="B287" s="15"/>
      <c r="D287" s="15"/>
      <c r="E287" s="10" t="s">
        <v>14</v>
      </c>
      <c r="G287" s="11" t="str">
        <f t="shared" si="3"/>
        <v>#DIV/0!</v>
      </c>
      <c r="H287" s="15"/>
      <c r="J287" s="16"/>
      <c r="K287" s="14"/>
      <c r="L287" s="15" t="b">
        <v>0</v>
      </c>
    </row>
    <row r="288" ht="15.75" customHeight="1">
      <c r="A288" s="15" t="s">
        <v>322</v>
      </c>
      <c r="B288" s="15"/>
      <c r="D288" s="15"/>
      <c r="E288" s="10" t="s">
        <v>14</v>
      </c>
      <c r="G288" s="11" t="str">
        <f t="shared" si="3"/>
        <v>#DIV/0!</v>
      </c>
      <c r="H288" s="15"/>
      <c r="J288" s="16"/>
      <c r="K288" s="14"/>
      <c r="L288" s="15" t="b">
        <v>0</v>
      </c>
    </row>
    <row r="289" ht="15.75" customHeight="1">
      <c r="A289" s="15" t="s">
        <v>323</v>
      </c>
      <c r="B289" s="15"/>
      <c r="D289" s="15"/>
      <c r="E289" s="10" t="s">
        <v>14</v>
      </c>
      <c r="G289" s="11" t="str">
        <f t="shared" si="3"/>
        <v>#DIV/0!</v>
      </c>
      <c r="H289" s="15"/>
      <c r="J289" s="16"/>
      <c r="K289" s="14"/>
      <c r="L289" s="15" t="b">
        <v>0</v>
      </c>
    </row>
    <row r="290" ht="15.75" customHeight="1">
      <c r="A290" s="15" t="s">
        <v>324</v>
      </c>
      <c r="B290" s="15"/>
      <c r="D290" s="15"/>
      <c r="E290" s="10" t="s">
        <v>14</v>
      </c>
      <c r="G290" s="11" t="str">
        <f t="shared" si="3"/>
        <v>#DIV/0!</v>
      </c>
      <c r="H290" s="15"/>
      <c r="J290" s="16"/>
      <c r="K290" s="14"/>
      <c r="L290" s="15" t="b">
        <v>0</v>
      </c>
    </row>
    <row r="291" ht="15.75" customHeight="1">
      <c r="A291" s="15" t="s">
        <v>325</v>
      </c>
      <c r="B291" s="15"/>
      <c r="D291" s="15"/>
      <c r="E291" s="10" t="s">
        <v>14</v>
      </c>
      <c r="G291" s="11" t="str">
        <f t="shared" si="3"/>
        <v>#DIV/0!</v>
      </c>
      <c r="H291" s="15"/>
      <c r="J291" s="16"/>
      <c r="K291" s="14"/>
      <c r="L291" s="15" t="b">
        <v>0</v>
      </c>
    </row>
    <row r="292" ht="15.75" customHeight="1">
      <c r="A292" s="15" t="s">
        <v>326</v>
      </c>
      <c r="B292" s="15"/>
      <c r="D292" s="15"/>
      <c r="E292" s="10" t="s">
        <v>14</v>
      </c>
      <c r="G292" s="11" t="str">
        <f t="shared" si="3"/>
        <v>#DIV/0!</v>
      </c>
      <c r="H292" s="15"/>
      <c r="J292" s="16"/>
      <c r="K292" s="14"/>
      <c r="L292" s="15" t="b">
        <v>0</v>
      </c>
    </row>
    <row r="293" ht="15.75" customHeight="1">
      <c r="A293" s="15" t="s">
        <v>327</v>
      </c>
      <c r="B293" s="15"/>
      <c r="D293" s="15"/>
      <c r="E293" s="10" t="s">
        <v>14</v>
      </c>
      <c r="G293" s="11" t="str">
        <f t="shared" si="3"/>
        <v>#DIV/0!</v>
      </c>
      <c r="H293" s="15"/>
      <c r="J293" s="16"/>
      <c r="K293" s="14"/>
      <c r="L293" s="15" t="b">
        <v>0</v>
      </c>
    </row>
    <row r="294" ht="15.75" customHeight="1">
      <c r="A294" s="15" t="s">
        <v>328</v>
      </c>
      <c r="B294" s="15"/>
      <c r="D294" s="15"/>
      <c r="E294" s="10" t="s">
        <v>14</v>
      </c>
      <c r="G294" s="11" t="str">
        <f t="shared" si="3"/>
        <v>#DIV/0!</v>
      </c>
      <c r="H294" s="15"/>
      <c r="J294" s="16"/>
      <c r="K294" s="14"/>
      <c r="L294" s="15" t="b">
        <v>0</v>
      </c>
    </row>
    <row r="295" ht="15.75" customHeight="1">
      <c r="A295" s="15" t="s">
        <v>329</v>
      </c>
      <c r="B295" s="15"/>
      <c r="D295" s="15"/>
      <c r="E295" s="10" t="s">
        <v>14</v>
      </c>
      <c r="G295" s="11" t="str">
        <f t="shared" si="3"/>
        <v>#DIV/0!</v>
      </c>
      <c r="H295" s="15"/>
      <c r="J295" s="16"/>
      <c r="K295" s="14"/>
      <c r="L295" s="15" t="b">
        <v>0</v>
      </c>
    </row>
    <row r="296" ht="15.75" customHeight="1">
      <c r="A296" s="15" t="s">
        <v>330</v>
      </c>
      <c r="B296" s="15"/>
      <c r="D296" s="15"/>
      <c r="E296" s="10" t="s">
        <v>14</v>
      </c>
      <c r="G296" s="11" t="str">
        <f t="shared" si="3"/>
        <v>#DIV/0!</v>
      </c>
      <c r="H296" s="15"/>
      <c r="J296" s="16"/>
      <c r="K296" s="14"/>
      <c r="L296" s="15" t="b">
        <v>0</v>
      </c>
    </row>
    <row r="297" ht="15.75" customHeight="1">
      <c r="A297" s="15" t="s">
        <v>331</v>
      </c>
      <c r="B297" s="15"/>
      <c r="D297" s="15"/>
      <c r="E297" s="10" t="s">
        <v>14</v>
      </c>
      <c r="G297" s="11" t="str">
        <f t="shared" si="3"/>
        <v>#DIV/0!</v>
      </c>
      <c r="H297" s="15"/>
      <c r="J297" s="16"/>
      <c r="K297" s="14"/>
      <c r="L297" s="15" t="b">
        <v>0</v>
      </c>
    </row>
    <row r="298" ht="15.75" customHeight="1">
      <c r="A298" s="15" t="s">
        <v>332</v>
      </c>
      <c r="B298" s="15"/>
      <c r="D298" s="15"/>
      <c r="E298" s="10" t="s">
        <v>14</v>
      </c>
      <c r="G298" s="11" t="str">
        <f t="shared" si="3"/>
        <v>#DIV/0!</v>
      </c>
      <c r="H298" s="15"/>
      <c r="J298" s="16"/>
      <c r="K298" s="14"/>
      <c r="L298" s="15" t="b">
        <v>0</v>
      </c>
    </row>
    <row r="299" ht="15.75" customHeight="1">
      <c r="A299" s="15" t="s">
        <v>333</v>
      </c>
      <c r="B299" s="15"/>
      <c r="D299" s="15"/>
      <c r="E299" s="10" t="s">
        <v>14</v>
      </c>
      <c r="G299" s="11" t="str">
        <f t="shared" si="3"/>
        <v>#DIV/0!</v>
      </c>
      <c r="H299" s="15"/>
      <c r="J299" s="16"/>
      <c r="K299" s="14"/>
      <c r="L299" s="15" t="b">
        <v>0</v>
      </c>
    </row>
    <row r="300" ht="15.75" customHeight="1">
      <c r="A300" s="15" t="s">
        <v>334</v>
      </c>
      <c r="B300" s="15"/>
      <c r="D300" s="15"/>
      <c r="E300" s="10" t="s">
        <v>14</v>
      </c>
      <c r="G300" s="11" t="str">
        <f t="shared" si="3"/>
        <v>#DIV/0!</v>
      </c>
      <c r="H300" s="15"/>
      <c r="J300" s="16"/>
      <c r="K300" s="14"/>
      <c r="L300" s="15" t="b">
        <v>0</v>
      </c>
    </row>
    <row r="301" ht="15.75" customHeight="1">
      <c r="A301" s="15" t="s">
        <v>335</v>
      </c>
      <c r="B301" s="15"/>
      <c r="D301" s="15"/>
      <c r="E301" s="10" t="s">
        <v>14</v>
      </c>
      <c r="G301" s="11" t="str">
        <f t="shared" si="3"/>
        <v>#DIV/0!</v>
      </c>
      <c r="H301" s="15"/>
      <c r="J301" s="16"/>
      <c r="K301" s="14"/>
      <c r="L301" s="15" t="b">
        <v>0</v>
      </c>
    </row>
    <row r="302" ht="15.75" customHeight="1">
      <c r="A302" s="15" t="s">
        <v>249</v>
      </c>
      <c r="B302" s="15"/>
      <c r="D302" s="15"/>
      <c r="E302" s="10" t="s">
        <v>14</v>
      </c>
      <c r="G302" s="11" t="str">
        <f t="shared" si="3"/>
        <v>#DIV/0!</v>
      </c>
      <c r="H302" s="15"/>
      <c r="J302" s="16"/>
      <c r="K302" s="14"/>
      <c r="L302" s="15" t="b">
        <v>0</v>
      </c>
    </row>
    <row r="303" ht="15.75" customHeight="1">
      <c r="A303" s="15" t="s">
        <v>336</v>
      </c>
      <c r="B303" s="15"/>
      <c r="D303" s="15"/>
      <c r="E303" s="10" t="s">
        <v>14</v>
      </c>
      <c r="G303" s="11" t="str">
        <f t="shared" si="3"/>
        <v>#DIV/0!</v>
      </c>
      <c r="H303" s="15"/>
      <c r="J303" s="16"/>
      <c r="K303" s="14"/>
      <c r="L303" s="15" t="b">
        <v>0</v>
      </c>
    </row>
    <row r="304" ht="15.75" customHeight="1">
      <c r="A304" s="15" t="s">
        <v>337</v>
      </c>
      <c r="B304" s="15"/>
      <c r="D304" s="15"/>
      <c r="E304" s="10" t="s">
        <v>14</v>
      </c>
      <c r="G304" s="11" t="str">
        <f t="shared" si="3"/>
        <v>#DIV/0!</v>
      </c>
      <c r="H304" s="15"/>
      <c r="J304" s="16"/>
      <c r="K304" s="14"/>
      <c r="L304" s="15" t="b">
        <v>0</v>
      </c>
    </row>
    <row r="305" ht="15.75" customHeight="1">
      <c r="A305" s="15" t="s">
        <v>338</v>
      </c>
      <c r="B305" s="15"/>
      <c r="D305" s="15"/>
      <c r="E305" s="10" t="s">
        <v>14</v>
      </c>
      <c r="G305" s="11" t="str">
        <f t="shared" si="3"/>
        <v>#DIV/0!</v>
      </c>
      <c r="H305" s="15"/>
      <c r="J305" s="16"/>
      <c r="K305" s="14"/>
      <c r="L305" s="15" t="b">
        <v>0</v>
      </c>
    </row>
    <row r="306" ht="15.75" customHeight="1">
      <c r="A306" s="15" t="s">
        <v>339</v>
      </c>
      <c r="B306" s="15"/>
      <c r="D306" s="15"/>
      <c r="E306" s="10" t="s">
        <v>14</v>
      </c>
      <c r="G306" s="11" t="str">
        <f t="shared" si="3"/>
        <v>#DIV/0!</v>
      </c>
      <c r="H306" s="15"/>
      <c r="J306" s="16"/>
      <c r="K306" s="14"/>
      <c r="L306" s="15" t="b">
        <v>0</v>
      </c>
    </row>
    <row r="307" ht="15.75" customHeight="1">
      <c r="A307" s="15" t="s">
        <v>340</v>
      </c>
      <c r="B307" s="15"/>
      <c r="D307" s="15"/>
      <c r="E307" s="10" t="s">
        <v>14</v>
      </c>
      <c r="G307" s="11" t="str">
        <f t="shared" si="3"/>
        <v>#DIV/0!</v>
      </c>
      <c r="H307" s="15"/>
      <c r="J307" s="16"/>
      <c r="K307" s="14"/>
      <c r="L307" s="15" t="b">
        <v>0</v>
      </c>
    </row>
    <row r="308" ht="15.75" customHeight="1">
      <c r="A308" s="15" t="s">
        <v>341</v>
      </c>
      <c r="B308" s="15"/>
      <c r="D308" s="15"/>
      <c r="E308" s="10" t="s">
        <v>14</v>
      </c>
      <c r="G308" s="11" t="str">
        <f t="shared" si="3"/>
        <v>#DIV/0!</v>
      </c>
      <c r="H308" s="15"/>
      <c r="J308" s="16"/>
      <c r="K308" s="14"/>
      <c r="L308" s="15" t="b">
        <v>0</v>
      </c>
    </row>
    <row r="309" ht="15.75" customHeight="1">
      <c r="A309" s="15" t="s">
        <v>342</v>
      </c>
      <c r="B309" s="15"/>
      <c r="D309" s="15"/>
      <c r="E309" s="10" t="s">
        <v>14</v>
      </c>
      <c r="G309" s="11" t="str">
        <f t="shared" si="3"/>
        <v>#DIV/0!</v>
      </c>
      <c r="H309" s="15"/>
      <c r="J309" s="16"/>
      <c r="K309" s="14"/>
      <c r="L309" s="15" t="b">
        <v>0</v>
      </c>
    </row>
    <row r="310" ht="15.75" customHeight="1">
      <c r="A310" s="15" t="s">
        <v>343</v>
      </c>
      <c r="B310" s="15"/>
      <c r="D310" s="15"/>
      <c r="E310" s="10" t="s">
        <v>14</v>
      </c>
      <c r="G310" s="11" t="str">
        <f t="shared" si="3"/>
        <v>#DIV/0!</v>
      </c>
      <c r="H310" s="15"/>
      <c r="J310" s="16"/>
      <c r="K310" s="14"/>
      <c r="L310" s="15" t="b">
        <v>0</v>
      </c>
    </row>
    <row r="311" ht="15.75" customHeight="1">
      <c r="A311" s="15" t="s">
        <v>344</v>
      </c>
      <c r="B311" s="15"/>
      <c r="D311" s="15"/>
      <c r="E311" s="10" t="s">
        <v>14</v>
      </c>
      <c r="G311" s="11" t="str">
        <f t="shared" si="3"/>
        <v>#DIV/0!</v>
      </c>
      <c r="H311" s="15"/>
      <c r="J311" s="16"/>
      <c r="K311" s="14"/>
      <c r="L311" s="15" t="b">
        <v>0</v>
      </c>
    </row>
    <row r="312" ht="15.75" customHeight="1">
      <c r="A312" s="15" t="s">
        <v>345</v>
      </c>
      <c r="B312" s="15"/>
      <c r="D312" s="15"/>
      <c r="E312" s="10" t="s">
        <v>14</v>
      </c>
      <c r="G312" s="11" t="str">
        <f t="shared" si="3"/>
        <v>#DIV/0!</v>
      </c>
      <c r="H312" s="15"/>
      <c r="J312" s="16"/>
      <c r="K312" s="14"/>
      <c r="L312" s="15" t="b">
        <v>0</v>
      </c>
    </row>
    <row r="313" ht="15.75" customHeight="1">
      <c r="A313" s="15" t="s">
        <v>346</v>
      </c>
      <c r="B313" s="15"/>
      <c r="D313" s="15"/>
      <c r="E313" s="10" t="s">
        <v>14</v>
      </c>
      <c r="G313" s="11" t="str">
        <f t="shared" si="3"/>
        <v>#DIV/0!</v>
      </c>
      <c r="H313" s="15"/>
      <c r="J313" s="16"/>
      <c r="K313" s="14"/>
      <c r="L313" s="15" t="b">
        <v>0</v>
      </c>
    </row>
    <row r="314" ht="15.75" customHeight="1">
      <c r="A314" s="15" t="s">
        <v>347</v>
      </c>
      <c r="B314" s="15"/>
      <c r="D314" s="15"/>
      <c r="E314" s="10" t="s">
        <v>14</v>
      </c>
      <c r="G314" s="11" t="str">
        <f t="shared" si="3"/>
        <v>#DIV/0!</v>
      </c>
      <c r="H314" s="15"/>
      <c r="J314" s="16"/>
      <c r="K314" s="14"/>
      <c r="L314" s="15" t="b">
        <v>0</v>
      </c>
    </row>
    <row r="315" ht="15.75" customHeight="1">
      <c r="A315" s="15" t="s">
        <v>348</v>
      </c>
      <c r="B315" s="15"/>
      <c r="D315" s="15"/>
      <c r="E315" s="10" t="s">
        <v>14</v>
      </c>
      <c r="G315" s="11" t="str">
        <f t="shared" si="3"/>
        <v>#DIV/0!</v>
      </c>
      <c r="H315" s="15"/>
      <c r="J315" s="16"/>
      <c r="K315" s="14"/>
      <c r="L315" s="15" t="b">
        <v>0</v>
      </c>
    </row>
    <row r="316" ht="15.75" customHeight="1">
      <c r="A316" s="15" t="s">
        <v>349</v>
      </c>
      <c r="B316" s="15"/>
      <c r="D316" s="15"/>
      <c r="E316" s="10" t="s">
        <v>14</v>
      </c>
      <c r="G316" s="11" t="str">
        <f t="shared" si="3"/>
        <v>#DIV/0!</v>
      </c>
      <c r="H316" s="15"/>
      <c r="J316" s="16"/>
      <c r="K316" s="14"/>
      <c r="L316" s="15" t="b">
        <v>0</v>
      </c>
    </row>
    <row r="317" ht="15.75" customHeight="1">
      <c r="A317" s="15" t="s">
        <v>350</v>
      </c>
      <c r="B317" s="15"/>
      <c r="D317" s="15"/>
      <c r="E317" s="10" t="s">
        <v>14</v>
      </c>
      <c r="G317" s="11" t="str">
        <f t="shared" si="3"/>
        <v>#DIV/0!</v>
      </c>
      <c r="H317" s="15"/>
      <c r="J317" s="16"/>
      <c r="K317" s="14"/>
      <c r="L317" s="15" t="b">
        <v>0</v>
      </c>
    </row>
    <row r="318" ht="15.75" customHeight="1">
      <c r="A318" s="15" t="s">
        <v>351</v>
      </c>
      <c r="B318" s="15"/>
      <c r="D318" s="15"/>
      <c r="E318" s="10" t="s">
        <v>14</v>
      </c>
      <c r="G318" s="11" t="str">
        <f t="shared" si="3"/>
        <v>#DIV/0!</v>
      </c>
      <c r="H318" s="15"/>
      <c r="J318" s="16"/>
      <c r="K318" s="14"/>
      <c r="L318" s="15" t="b">
        <v>0</v>
      </c>
    </row>
    <row r="319" ht="15.75" customHeight="1">
      <c r="A319" s="15" t="s">
        <v>352</v>
      </c>
      <c r="B319" s="15"/>
      <c r="D319" s="15"/>
      <c r="E319" s="10" t="s">
        <v>14</v>
      </c>
      <c r="G319" s="11" t="str">
        <f t="shared" si="3"/>
        <v>#DIV/0!</v>
      </c>
      <c r="H319" s="15"/>
      <c r="J319" s="16"/>
      <c r="K319" s="14"/>
      <c r="L319" s="15" t="b">
        <v>0</v>
      </c>
    </row>
    <row r="320" ht="15.75" customHeight="1">
      <c r="A320" s="15" t="s">
        <v>353</v>
      </c>
      <c r="B320" s="15"/>
      <c r="D320" s="15"/>
      <c r="E320" s="10" t="s">
        <v>14</v>
      </c>
      <c r="G320" s="11" t="str">
        <f t="shared" si="3"/>
        <v>#DIV/0!</v>
      </c>
      <c r="H320" s="15"/>
      <c r="J320" s="16"/>
      <c r="K320" s="14"/>
      <c r="L320" s="15" t="b">
        <v>0</v>
      </c>
    </row>
    <row r="321" ht="15.75" customHeight="1">
      <c r="A321" s="15" t="s">
        <v>354</v>
      </c>
      <c r="B321" s="15"/>
      <c r="D321" s="15"/>
      <c r="E321" s="10" t="s">
        <v>14</v>
      </c>
      <c r="G321" s="11" t="str">
        <f t="shared" si="3"/>
        <v>#DIV/0!</v>
      </c>
      <c r="H321" s="15"/>
      <c r="J321" s="16"/>
      <c r="K321" s="14"/>
      <c r="L321" s="15" t="b">
        <v>0</v>
      </c>
    </row>
    <row r="322" ht="15.75" customHeight="1">
      <c r="A322" s="15" t="s">
        <v>355</v>
      </c>
      <c r="B322" s="15"/>
      <c r="D322" s="15"/>
      <c r="E322" s="10" t="s">
        <v>14</v>
      </c>
      <c r="G322" s="11" t="str">
        <f t="shared" si="3"/>
        <v>#DIV/0!</v>
      </c>
      <c r="H322" s="15"/>
      <c r="J322" s="16"/>
      <c r="K322" s="14"/>
      <c r="L322" s="15" t="b">
        <v>0</v>
      </c>
    </row>
    <row r="323" ht="15.75" customHeight="1">
      <c r="A323" s="15" t="s">
        <v>356</v>
      </c>
      <c r="B323" s="15"/>
      <c r="D323" s="15"/>
      <c r="E323" s="10" t="s">
        <v>14</v>
      </c>
      <c r="G323" s="11" t="str">
        <f t="shared" si="3"/>
        <v>#DIV/0!</v>
      </c>
      <c r="H323" s="15"/>
      <c r="J323" s="16"/>
      <c r="K323" s="14"/>
      <c r="L323" s="15" t="b">
        <v>0</v>
      </c>
    </row>
    <row r="324" ht="15.75" customHeight="1">
      <c r="A324" s="15" t="s">
        <v>357</v>
      </c>
      <c r="B324" s="15"/>
      <c r="D324" s="15"/>
      <c r="E324" s="10" t="s">
        <v>14</v>
      </c>
      <c r="G324" s="11" t="str">
        <f t="shared" si="3"/>
        <v>#DIV/0!</v>
      </c>
      <c r="H324" s="15"/>
      <c r="J324" s="16"/>
      <c r="K324" s="14"/>
      <c r="L324" s="15" t="b">
        <v>0</v>
      </c>
    </row>
    <row r="325" ht="15.75" customHeight="1">
      <c r="A325" s="15" t="s">
        <v>358</v>
      </c>
      <c r="B325" s="15"/>
      <c r="D325" s="15"/>
      <c r="E325" s="10" t="s">
        <v>14</v>
      </c>
      <c r="G325" s="11" t="str">
        <f t="shared" si="3"/>
        <v>#DIV/0!</v>
      </c>
      <c r="H325" s="15"/>
      <c r="J325" s="16"/>
      <c r="K325" s="14"/>
      <c r="L325" s="15" t="b">
        <v>0</v>
      </c>
    </row>
    <row r="326" ht="15.75" customHeight="1">
      <c r="A326" s="15" t="s">
        <v>359</v>
      </c>
      <c r="B326" s="15"/>
      <c r="D326" s="15"/>
      <c r="E326" s="10" t="s">
        <v>14</v>
      </c>
      <c r="G326" s="11" t="str">
        <f t="shared" si="3"/>
        <v>#DIV/0!</v>
      </c>
      <c r="H326" s="15"/>
      <c r="J326" s="16"/>
      <c r="K326" s="14"/>
      <c r="L326" s="15" t="b">
        <v>0</v>
      </c>
    </row>
    <row r="327" ht="15.75" customHeight="1">
      <c r="A327" s="15" t="s">
        <v>360</v>
      </c>
      <c r="B327" s="15"/>
      <c r="D327" s="15"/>
      <c r="E327" s="10" t="s">
        <v>14</v>
      </c>
      <c r="G327" s="11" t="str">
        <f t="shared" si="3"/>
        <v>#DIV/0!</v>
      </c>
      <c r="H327" s="15"/>
      <c r="J327" s="16"/>
      <c r="K327" s="14"/>
      <c r="L327" s="15" t="b">
        <v>0</v>
      </c>
    </row>
    <row r="328" ht="15.75" customHeight="1">
      <c r="A328" s="15" t="s">
        <v>361</v>
      </c>
      <c r="B328" s="15"/>
      <c r="D328" s="15"/>
      <c r="E328" s="10" t="s">
        <v>14</v>
      </c>
      <c r="G328" s="11" t="str">
        <f t="shared" si="3"/>
        <v>#DIV/0!</v>
      </c>
      <c r="H328" s="15"/>
      <c r="J328" s="16"/>
      <c r="K328" s="14"/>
      <c r="L328" s="15" t="b">
        <v>0</v>
      </c>
    </row>
    <row r="329" ht="15.75" customHeight="1">
      <c r="A329" s="15" t="s">
        <v>362</v>
      </c>
      <c r="B329" s="15"/>
      <c r="D329" s="15"/>
      <c r="E329" s="10" t="s">
        <v>14</v>
      </c>
      <c r="G329" s="11" t="str">
        <f t="shared" si="3"/>
        <v>#DIV/0!</v>
      </c>
      <c r="H329" s="15"/>
      <c r="J329" s="16"/>
      <c r="K329" s="14"/>
      <c r="L329" s="15" t="b">
        <v>0</v>
      </c>
    </row>
    <row r="330" ht="15.75" customHeight="1">
      <c r="A330" s="15" t="s">
        <v>363</v>
      </c>
      <c r="B330" s="15"/>
      <c r="D330" s="15"/>
      <c r="E330" s="10" t="s">
        <v>14</v>
      </c>
      <c r="G330" s="11" t="str">
        <f t="shared" si="3"/>
        <v>#DIV/0!</v>
      </c>
      <c r="H330" s="15"/>
      <c r="J330" s="16"/>
      <c r="K330" s="14"/>
      <c r="L330" s="15" t="b">
        <v>0</v>
      </c>
    </row>
    <row r="331" ht="15.75" customHeight="1">
      <c r="A331" s="15" t="s">
        <v>364</v>
      </c>
      <c r="B331" s="15"/>
      <c r="D331" s="15"/>
      <c r="E331" s="10" t="s">
        <v>14</v>
      </c>
      <c r="G331" s="11" t="str">
        <f t="shared" si="3"/>
        <v>#DIV/0!</v>
      </c>
      <c r="H331" s="15"/>
      <c r="J331" s="16"/>
      <c r="K331" s="14"/>
      <c r="L331" s="15" t="b">
        <v>0</v>
      </c>
    </row>
    <row r="332" ht="15.75" customHeight="1">
      <c r="A332" s="15" t="s">
        <v>365</v>
      </c>
      <c r="B332" s="15"/>
      <c r="D332" s="15"/>
      <c r="E332" s="10" t="s">
        <v>14</v>
      </c>
      <c r="G332" s="11" t="str">
        <f t="shared" si="3"/>
        <v>#DIV/0!</v>
      </c>
      <c r="H332" s="15"/>
      <c r="J332" s="16"/>
      <c r="K332" s="14"/>
      <c r="L332" s="15" t="b">
        <v>0</v>
      </c>
    </row>
    <row r="333" ht="15.75" customHeight="1">
      <c r="A333" s="15" t="s">
        <v>366</v>
      </c>
      <c r="B333" s="15"/>
      <c r="D333" s="15"/>
      <c r="E333" s="10" t="s">
        <v>14</v>
      </c>
      <c r="G333" s="11" t="str">
        <f t="shared" si="3"/>
        <v>#DIV/0!</v>
      </c>
      <c r="H333" s="15"/>
      <c r="J333" s="16"/>
      <c r="K333" s="14"/>
      <c r="L333" s="15" t="b">
        <v>0</v>
      </c>
    </row>
    <row r="334" ht="15.75" customHeight="1">
      <c r="A334" s="15" t="s">
        <v>367</v>
      </c>
      <c r="B334" s="15"/>
      <c r="D334" s="15"/>
      <c r="E334" s="10" t="s">
        <v>14</v>
      </c>
      <c r="G334" s="11" t="str">
        <f t="shared" si="3"/>
        <v>#DIV/0!</v>
      </c>
      <c r="H334" s="15"/>
      <c r="J334" s="16"/>
      <c r="K334" s="14"/>
      <c r="L334" s="15" t="b">
        <v>0</v>
      </c>
    </row>
    <row r="335" ht="15.75" customHeight="1">
      <c r="A335" s="15" t="s">
        <v>368</v>
      </c>
      <c r="B335" s="15"/>
      <c r="D335" s="15"/>
      <c r="E335" s="10" t="s">
        <v>14</v>
      </c>
      <c r="G335" s="11" t="str">
        <f t="shared" si="3"/>
        <v>#DIV/0!</v>
      </c>
      <c r="H335" s="15"/>
      <c r="J335" s="16"/>
      <c r="K335" s="14"/>
      <c r="L335" s="15" t="b">
        <v>0</v>
      </c>
    </row>
    <row r="336" ht="15.75" customHeight="1">
      <c r="A336" s="15" t="s">
        <v>369</v>
      </c>
      <c r="B336" s="15"/>
      <c r="D336" s="15"/>
      <c r="E336" s="10" t="s">
        <v>14</v>
      </c>
      <c r="G336" s="11" t="str">
        <f t="shared" si="3"/>
        <v>#DIV/0!</v>
      </c>
      <c r="H336" s="15"/>
      <c r="J336" s="16"/>
      <c r="K336" s="14"/>
      <c r="L336" s="15" t="b">
        <v>0</v>
      </c>
    </row>
    <row r="337" ht="15.75" customHeight="1">
      <c r="A337" s="15" t="s">
        <v>370</v>
      </c>
      <c r="B337" s="15"/>
      <c r="D337" s="15"/>
      <c r="E337" s="10" t="s">
        <v>14</v>
      </c>
      <c r="G337" s="11" t="str">
        <f t="shared" si="3"/>
        <v>#DIV/0!</v>
      </c>
      <c r="H337" s="15"/>
      <c r="J337" s="16"/>
      <c r="K337" s="14"/>
      <c r="L337" s="15" t="b">
        <v>0</v>
      </c>
    </row>
    <row r="338" ht="15.75" customHeight="1">
      <c r="A338" s="15" t="s">
        <v>371</v>
      </c>
      <c r="B338" s="15"/>
      <c r="D338" s="15"/>
      <c r="E338" s="10" t="s">
        <v>14</v>
      </c>
      <c r="G338" s="11" t="str">
        <f t="shared" si="3"/>
        <v>#DIV/0!</v>
      </c>
      <c r="H338" s="15"/>
      <c r="J338" s="16"/>
      <c r="K338" s="14"/>
      <c r="L338" s="15" t="b">
        <v>0</v>
      </c>
    </row>
    <row r="339" ht="15.75" customHeight="1">
      <c r="A339" s="15" t="s">
        <v>372</v>
      </c>
      <c r="B339" s="15"/>
      <c r="D339" s="15"/>
      <c r="E339" s="10" t="s">
        <v>14</v>
      </c>
      <c r="G339" s="11" t="str">
        <f t="shared" si="3"/>
        <v>#DIV/0!</v>
      </c>
      <c r="H339" s="15"/>
      <c r="J339" s="16"/>
      <c r="K339" s="14"/>
      <c r="L339" s="15" t="b">
        <v>0</v>
      </c>
    </row>
    <row r="340" ht="15.75" customHeight="1">
      <c r="A340" s="15" t="s">
        <v>373</v>
      </c>
      <c r="B340" s="15"/>
      <c r="D340" s="15"/>
      <c r="E340" s="10" t="s">
        <v>14</v>
      </c>
      <c r="G340" s="11" t="str">
        <f t="shared" si="3"/>
        <v>#DIV/0!</v>
      </c>
      <c r="H340" s="15"/>
      <c r="J340" s="16"/>
      <c r="K340" s="14"/>
      <c r="L340" s="15" t="b">
        <v>0</v>
      </c>
    </row>
    <row r="341" ht="15.75" customHeight="1">
      <c r="A341" s="15" t="s">
        <v>374</v>
      </c>
      <c r="B341" s="15"/>
      <c r="D341" s="15"/>
      <c r="E341" s="10" t="s">
        <v>14</v>
      </c>
      <c r="G341" s="11" t="str">
        <f t="shared" si="3"/>
        <v>#DIV/0!</v>
      </c>
      <c r="H341" s="15"/>
      <c r="J341" s="16"/>
      <c r="K341" s="14"/>
      <c r="L341" s="15" t="b">
        <v>0</v>
      </c>
    </row>
    <row r="342" ht="15.75" customHeight="1">
      <c r="A342" s="15" t="s">
        <v>375</v>
      </c>
      <c r="B342" s="15"/>
      <c r="D342" s="15"/>
      <c r="E342" s="10" t="s">
        <v>14</v>
      </c>
      <c r="G342" s="11" t="str">
        <f t="shared" si="3"/>
        <v>#DIV/0!</v>
      </c>
      <c r="H342" s="15"/>
      <c r="J342" s="16"/>
      <c r="K342" s="14"/>
      <c r="L342" s="15" t="b">
        <v>0</v>
      </c>
    </row>
    <row r="343" ht="15.75" customHeight="1">
      <c r="A343" s="15" t="s">
        <v>376</v>
      </c>
      <c r="B343" s="15"/>
      <c r="D343" s="15"/>
      <c r="E343" s="10" t="s">
        <v>14</v>
      </c>
      <c r="G343" s="11" t="str">
        <f t="shared" si="3"/>
        <v>#DIV/0!</v>
      </c>
      <c r="H343" s="15"/>
      <c r="J343" s="16"/>
      <c r="K343" s="14"/>
      <c r="L343" s="15" t="b">
        <v>0</v>
      </c>
    </row>
    <row r="344" ht="15.75" customHeight="1">
      <c r="A344" s="15" t="s">
        <v>377</v>
      </c>
      <c r="B344" s="15"/>
      <c r="D344" s="15"/>
      <c r="E344" s="10" t="s">
        <v>14</v>
      </c>
      <c r="G344" s="11" t="str">
        <f t="shared" si="3"/>
        <v>#DIV/0!</v>
      </c>
      <c r="H344" s="15"/>
      <c r="J344" s="16"/>
      <c r="K344" s="14"/>
      <c r="L344" s="15" t="b">
        <v>0</v>
      </c>
    </row>
    <row r="345" ht="15.75" customHeight="1">
      <c r="A345" s="15" t="s">
        <v>378</v>
      </c>
      <c r="B345" s="15"/>
      <c r="D345" s="15"/>
      <c r="E345" s="10" t="s">
        <v>14</v>
      </c>
      <c r="G345" s="11" t="str">
        <f t="shared" si="3"/>
        <v>#DIV/0!</v>
      </c>
      <c r="H345" s="15"/>
      <c r="J345" s="16"/>
      <c r="K345" s="14"/>
      <c r="L345" s="15" t="b">
        <v>0</v>
      </c>
    </row>
    <row r="346" ht="15.75" customHeight="1">
      <c r="A346" s="15" t="s">
        <v>379</v>
      </c>
      <c r="B346" s="15"/>
      <c r="D346" s="15"/>
      <c r="E346" s="10" t="s">
        <v>14</v>
      </c>
      <c r="G346" s="11" t="str">
        <f t="shared" si="3"/>
        <v>#DIV/0!</v>
      </c>
      <c r="H346" s="15"/>
      <c r="J346" s="16"/>
      <c r="K346" s="14"/>
      <c r="L346" s="15" t="b">
        <v>0</v>
      </c>
    </row>
    <row r="347" ht="15.75" customHeight="1">
      <c r="A347" s="15" t="s">
        <v>380</v>
      </c>
      <c r="B347" s="15"/>
      <c r="D347" s="15"/>
      <c r="E347" s="10" t="s">
        <v>14</v>
      </c>
      <c r="G347" s="11" t="str">
        <f t="shared" si="3"/>
        <v>#DIV/0!</v>
      </c>
      <c r="H347" s="15"/>
      <c r="J347" s="16"/>
      <c r="K347" s="14"/>
      <c r="L347" s="15" t="b">
        <v>0</v>
      </c>
    </row>
    <row r="348" ht="15.75" customHeight="1">
      <c r="A348" s="15" t="s">
        <v>381</v>
      </c>
      <c r="B348" s="15"/>
      <c r="D348" s="15"/>
      <c r="E348" s="10" t="s">
        <v>14</v>
      </c>
      <c r="G348" s="11" t="str">
        <f t="shared" si="3"/>
        <v>#DIV/0!</v>
      </c>
      <c r="H348" s="15"/>
      <c r="J348" s="16"/>
      <c r="K348" s="14"/>
      <c r="L348" s="15" t="b">
        <v>0</v>
      </c>
    </row>
    <row r="349" ht="15.75" customHeight="1">
      <c r="A349" s="15" t="s">
        <v>382</v>
      </c>
      <c r="B349" s="15"/>
      <c r="D349" s="15"/>
      <c r="E349" s="10" t="s">
        <v>14</v>
      </c>
      <c r="G349" s="11" t="str">
        <f t="shared" si="3"/>
        <v>#DIV/0!</v>
      </c>
      <c r="H349" s="15"/>
      <c r="J349" s="16"/>
      <c r="K349" s="14"/>
      <c r="L349" s="15" t="b">
        <v>0</v>
      </c>
    </row>
    <row r="350" ht="15.75" customHeight="1">
      <c r="A350" s="15" t="s">
        <v>383</v>
      </c>
      <c r="B350" s="15"/>
      <c r="D350" s="15"/>
      <c r="E350" s="10" t="s">
        <v>14</v>
      </c>
      <c r="G350" s="11" t="str">
        <f t="shared" si="3"/>
        <v>#DIV/0!</v>
      </c>
      <c r="H350" s="15"/>
      <c r="J350" s="16"/>
      <c r="K350" s="14"/>
      <c r="L350" s="15" t="b">
        <v>0</v>
      </c>
    </row>
    <row r="351" ht="15.75" customHeight="1">
      <c r="A351" s="15" t="s">
        <v>384</v>
      </c>
      <c r="B351" s="15"/>
      <c r="D351" s="15"/>
      <c r="E351" s="10" t="s">
        <v>14</v>
      </c>
      <c r="G351" s="11" t="str">
        <f t="shared" si="3"/>
        <v>#DIV/0!</v>
      </c>
      <c r="H351" s="15"/>
      <c r="J351" s="16"/>
      <c r="K351" s="14"/>
      <c r="L351" s="15" t="b">
        <v>0</v>
      </c>
    </row>
    <row r="352" ht="15.75" customHeight="1">
      <c r="A352" s="15" t="s">
        <v>385</v>
      </c>
      <c r="B352" s="15"/>
      <c r="D352" s="15"/>
      <c r="E352" s="10" t="s">
        <v>14</v>
      </c>
      <c r="G352" s="11" t="str">
        <f t="shared" si="3"/>
        <v>#DIV/0!</v>
      </c>
      <c r="H352" s="15"/>
      <c r="J352" s="16"/>
      <c r="K352" s="14"/>
      <c r="L352" s="15" t="b">
        <v>0</v>
      </c>
    </row>
    <row r="353" ht="15.75" customHeight="1">
      <c r="A353" s="15" t="s">
        <v>386</v>
      </c>
      <c r="B353" s="15"/>
      <c r="D353" s="15"/>
      <c r="E353" s="10" t="s">
        <v>14</v>
      </c>
      <c r="G353" s="11" t="str">
        <f t="shared" si="3"/>
        <v>#DIV/0!</v>
      </c>
      <c r="H353" s="15"/>
      <c r="J353" s="16"/>
      <c r="K353" s="14"/>
      <c r="L353" s="15" t="b">
        <v>0</v>
      </c>
    </row>
    <row r="354" ht="15.75" customHeight="1">
      <c r="A354" s="15" t="s">
        <v>387</v>
      </c>
      <c r="B354" s="15"/>
      <c r="D354" s="15"/>
      <c r="E354" s="10" t="s">
        <v>14</v>
      </c>
      <c r="G354" s="11" t="str">
        <f t="shared" si="3"/>
        <v>#DIV/0!</v>
      </c>
      <c r="H354" s="15"/>
      <c r="J354" s="16"/>
      <c r="K354" s="14"/>
      <c r="L354" s="15" t="b">
        <v>0</v>
      </c>
    </row>
    <row r="355" ht="15.75" customHeight="1">
      <c r="A355" s="15" t="s">
        <v>388</v>
      </c>
      <c r="B355" s="15"/>
      <c r="D355" s="15"/>
      <c r="E355" s="10" t="s">
        <v>14</v>
      </c>
      <c r="G355" s="11" t="str">
        <f t="shared" si="3"/>
        <v>#DIV/0!</v>
      </c>
      <c r="H355" s="15"/>
      <c r="J355" s="16"/>
      <c r="K355" s="14"/>
      <c r="L355" s="15" t="b">
        <v>0</v>
      </c>
    </row>
    <row r="356" ht="15.75" customHeight="1">
      <c r="A356" s="15" t="s">
        <v>389</v>
      </c>
      <c r="B356" s="15"/>
      <c r="D356" s="15"/>
      <c r="E356" s="10" t="s">
        <v>14</v>
      </c>
      <c r="G356" s="11" t="str">
        <f t="shared" si="3"/>
        <v>#DIV/0!</v>
      </c>
      <c r="H356" s="15"/>
      <c r="J356" s="16"/>
      <c r="K356" s="14"/>
      <c r="L356" s="15" t="b">
        <v>0</v>
      </c>
    </row>
    <row r="357" ht="15.75" customHeight="1">
      <c r="A357" s="15" t="s">
        <v>390</v>
      </c>
      <c r="B357" s="15"/>
      <c r="D357" s="15"/>
      <c r="E357" s="10" t="s">
        <v>14</v>
      </c>
      <c r="G357" s="11" t="str">
        <f t="shared" si="3"/>
        <v>#DIV/0!</v>
      </c>
      <c r="H357" s="15"/>
      <c r="J357" s="16"/>
      <c r="K357" s="14"/>
      <c r="L357" s="15" t="b">
        <v>0</v>
      </c>
    </row>
    <row r="358" ht="15.75" customHeight="1">
      <c r="A358" s="15" t="s">
        <v>391</v>
      </c>
      <c r="B358" s="15"/>
      <c r="D358" s="15"/>
      <c r="E358" s="10" t="s">
        <v>14</v>
      </c>
      <c r="G358" s="11" t="str">
        <f t="shared" si="3"/>
        <v>#DIV/0!</v>
      </c>
      <c r="H358" s="15"/>
      <c r="J358" s="16"/>
      <c r="K358" s="14"/>
      <c r="L358" s="15" t="b">
        <v>0</v>
      </c>
    </row>
    <row r="359" ht="15.75" customHeight="1">
      <c r="A359" s="15" t="s">
        <v>392</v>
      </c>
      <c r="B359" s="15"/>
      <c r="D359" s="15"/>
      <c r="E359" s="10" t="s">
        <v>14</v>
      </c>
      <c r="G359" s="11" t="str">
        <f t="shared" si="3"/>
        <v>#DIV/0!</v>
      </c>
      <c r="H359" s="15"/>
      <c r="J359" s="16"/>
      <c r="K359" s="14"/>
      <c r="L359" s="15" t="b">
        <v>0</v>
      </c>
    </row>
    <row r="360" ht="15.75" customHeight="1">
      <c r="A360" s="15" t="s">
        <v>393</v>
      </c>
      <c r="B360" s="15"/>
      <c r="D360" s="15"/>
      <c r="E360" s="10" t="s">
        <v>14</v>
      </c>
      <c r="G360" s="11" t="str">
        <f t="shared" si="3"/>
        <v>#DIV/0!</v>
      </c>
      <c r="H360" s="15"/>
      <c r="J360" s="16"/>
      <c r="K360" s="14"/>
      <c r="L360" s="15" t="b">
        <v>0</v>
      </c>
    </row>
    <row r="361" ht="15.75" customHeight="1">
      <c r="A361" s="15" t="s">
        <v>394</v>
      </c>
      <c r="B361" s="15"/>
      <c r="D361" s="15"/>
      <c r="E361" s="10" t="s">
        <v>14</v>
      </c>
      <c r="G361" s="11" t="str">
        <f t="shared" si="3"/>
        <v>#DIV/0!</v>
      </c>
      <c r="H361" s="15"/>
      <c r="J361" s="16"/>
      <c r="K361" s="14"/>
      <c r="L361" s="15" t="b">
        <v>0</v>
      </c>
    </row>
    <row r="362" ht="15.75" customHeight="1">
      <c r="A362" s="15" t="s">
        <v>395</v>
      </c>
      <c r="B362" s="15"/>
      <c r="D362" s="15"/>
      <c r="E362" s="10" t="s">
        <v>14</v>
      </c>
      <c r="G362" s="11" t="str">
        <f t="shared" si="3"/>
        <v>#DIV/0!</v>
      </c>
      <c r="H362" s="15"/>
      <c r="J362" s="16"/>
      <c r="K362" s="14"/>
      <c r="L362" s="15" t="b">
        <v>0</v>
      </c>
    </row>
    <row r="363" ht="15.75" customHeight="1">
      <c r="A363" s="15" t="s">
        <v>396</v>
      </c>
      <c r="B363" s="15"/>
      <c r="D363" s="15"/>
      <c r="E363" s="10" t="s">
        <v>14</v>
      </c>
      <c r="G363" s="11" t="str">
        <f t="shared" si="3"/>
        <v>#DIV/0!</v>
      </c>
      <c r="H363" s="15"/>
      <c r="J363" s="16"/>
      <c r="K363" s="14"/>
      <c r="L363" s="15" t="b">
        <v>0</v>
      </c>
    </row>
    <row r="364" ht="15.75" customHeight="1">
      <c r="A364" s="15" t="s">
        <v>397</v>
      </c>
      <c r="B364" s="15"/>
      <c r="D364" s="15"/>
      <c r="E364" s="10" t="s">
        <v>14</v>
      </c>
      <c r="G364" s="11" t="str">
        <f t="shared" si="3"/>
        <v>#DIV/0!</v>
      </c>
      <c r="H364" s="15"/>
      <c r="J364" s="16"/>
      <c r="K364" s="14"/>
      <c r="L364" s="15" t="b">
        <v>0</v>
      </c>
    </row>
    <row r="365" ht="15.75" customHeight="1">
      <c r="A365" s="15" t="s">
        <v>398</v>
      </c>
      <c r="B365" s="15"/>
      <c r="D365" s="15"/>
      <c r="E365" s="10" t="s">
        <v>14</v>
      </c>
      <c r="G365" s="11" t="str">
        <f t="shared" si="3"/>
        <v>#DIV/0!</v>
      </c>
      <c r="H365" s="15"/>
      <c r="J365" s="16"/>
      <c r="K365" s="14"/>
      <c r="L365" s="15" t="b">
        <v>0</v>
      </c>
    </row>
    <row r="366" ht="15.75" customHeight="1">
      <c r="A366" s="15" t="s">
        <v>399</v>
      </c>
      <c r="B366" s="15"/>
      <c r="D366" s="15"/>
      <c r="E366" s="10" t="s">
        <v>14</v>
      </c>
      <c r="G366" s="11" t="str">
        <f t="shared" si="3"/>
        <v>#DIV/0!</v>
      </c>
      <c r="H366" s="15"/>
      <c r="J366" s="16"/>
      <c r="K366" s="14"/>
      <c r="L366" s="15" t="b">
        <v>0</v>
      </c>
    </row>
    <row r="367" ht="15.75" customHeight="1">
      <c r="A367" s="15" t="s">
        <v>400</v>
      </c>
      <c r="B367" s="15"/>
      <c r="D367" s="15"/>
      <c r="E367" s="10" t="s">
        <v>14</v>
      </c>
      <c r="G367" s="11" t="str">
        <f t="shared" si="3"/>
        <v>#DIV/0!</v>
      </c>
      <c r="H367" s="15"/>
      <c r="J367" s="16"/>
      <c r="K367" s="14"/>
      <c r="L367" s="15" t="b">
        <v>0</v>
      </c>
    </row>
    <row r="368" ht="15.75" customHeight="1">
      <c r="A368" s="15" t="s">
        <v>401</v>
      </c>
      <c r="B368" s="15"/>
      <c r="D368" s="15"/>
      <c r="E368" s="10" t="s">
        <v>14</v>
      </c>
      <c r="G368" s="11" t="str">
        <f t="shared" si="3"/>
        <v>#DIV/0!</v>
      </c>
      <c r="H368" s="15"/>
      <c r="J368" s="16"/>
      <c r="K368" s="14"/>
      <c r="L368" s="15" t="b">
        <v>0</v>
      </c>
    </row>
    <row r="369" ht="15.75" customHeight="1">
      <c r="A369" s="15" t="s">
        <v>402</v>
      </c>
      <c r="B369" s="15"/>
      <c r="D369" s="15"/>
      <c r="E369" s="10" t="s">
        <v>14</v>
      </c>
      <c r="G369" s="11" t="str">
        <f t="shared" si="3"/>
        <v>#DIV/0!</v>
      </c>
      <c r="H369" s="15"/>
      <c r="J369" s="16"/>
      <c r="K369" s="14"/>
      <c r="L369" s="15" t="b">
        <v>0</v>
      </c>
    </row>
    <row r="370" ht="15.75" customHeight="1">
      <c r="A370" s="15" t="s">
        <v>403</v>
      </c>
      <c r="B370" s="15"/>
      <c r="D370" s="15"/>
      <c r="E370" s="10" t="s">
        <v>14</v>
      </c>
      <c r="G370" s="11" t="str">
        <f t="shared" si="3"/>
        <v>#DIV/0!</v>
      </c>
      <c r="H370" s="15"/>
      <c r="J370" s="16"/>
      <c r="K370" s="14"/>
      <c r="L370" s="15" t="b">
        <v>0</v>
      </c>
    </row>
    <row r="371" ht="15.75" customHeight="1">
      <c r="A371" s="15" t="s">
        <v>404</v>
      </c>
      <c r="B371" s="15"/>
      <c r="D371" s="15"/>
      <c r="E371" s="10" t="s">
        <v>14</v>
      </c>
      <c r="G371" s="11" t="str">
        <f t="shared" si="3"/>
        <v>#DIV/0!</v>
      </c>
      <c r="H371" s="15"/>
      <c r="J371" s="16"/>
      <c r="K371" s="14"/>
      <c r="L371" s="15" t="b">
        <v>0</v>
      </c>
    </row>
    <row r="372" ht="15.75" customHeight="1">
      <c r="A372" s="15" t="s">
        <v>405</v>
      </c>
      <c r="B372" s="15"/>
      <c r="D372" s="15"/>
      <c r="E372" s="10" t="s">
        <v>14</v>
      </c>
      <c r="G372" s="11" t="str">
        <f t="shared" si="3"/>
        <v>#DIV/0!</v>
      </c>
      <c r="H372" s="15"/>
      <c r="J372" s="16"/>
      <c r="K372" s="14"/>
      <c r="L372" s="15" t="b">
        <v>0</v>
      </c>
    </row>
    <row r="373" ht="15.75" customHeight="1">
      <c r="A373" s="15" t="s">
        <v>406</v>
      </c>
      <c r="B373" s="15"/>
      <c r="D373" s="15"/>
      <c r="E373" s="10" t="s">
        <v>14</v>
      </c>
      <c r="G373" s="11" t="str">
        <f t="shared" si="3"/>
        <v>#DIV/0!</v>
      </c>
      <c r="H373" s="15"/>
      <c r="J373" s="16"/>
      <c r="K373" s="14"/>
      <c r="L373" s="15" t="b">
        <v>0</v>
      </c>
    </row>
    <row r="374" ht="15.75" customHeight="1">
      <c r="A374" s="15" t="s">
        <v>407</v>
      </c>
      <c r="B374" s="15"/>
      <c r="D374" s="15"/>
      <c r="E374" s="10" t="s">
        <v>14</v>
      </c>
      <c r="G374" s="11" t="str">
        <f t="shared" si="3"/>
        <v>#DIV/0!</v>
      </c>
      <c r="H374" s="15"/>
      <c r="J374" s="16"/>
      <c r="K374" s="14"/>
      <c r="L374" s="15" t="b">
        <v>0</v>
      </c>
    </row>
    <row r="375" ht="15.75" customHeight="1">
      <c r="B375" s="15"/>
      <c r="D375" s="15"/>
      <c r="E375" s="10" t="s">
        <v>14</v>
      </c>
      <c r="G375" s="11" t="str">
        <f t="shared" si="3"/>
        <v>#DIV/0!</v>
      </c>
      <c r="H375" s="15"/>
      <c r="J375" s="16"/>
      <c r="K375" s="14"/>
      <c r="L375" s="15" t="b">
        <v>0</v>
      </c>
    </row>
    <row r="376" ht="15.75" customHeight="1">
      <c r="B376" s="15"/>
      <c r="D376" s="15"/>
      <c r="E376" s="10" t="s">
        <v>14</v>
      </c>
      <c r="G376" s="11" t="str">
        <f t="shared" si="3"/>
        <v>#DIV/0!</v>
      </c>
      <c r="H376" s="15"/>
      <c r="J376" s="16"/>
      <c r="K376" s="14"/>
      <c r="L376" s="15" t="b">
        <v>0</v>
      </c>
    </row>
    <row r="377" ht="15.75" customHeight="1">
      <c r="B377" s="10" t="s">
        <v>408</v>
      </c>
      <c r="D377" s="15"/>
      <c r="E377" s="10" t="s">
        <v>14</v>
      </c>
      <c r="G377" s="11" t="str">
        <f t="shared" si="3"/>
        <v>#DIV/0!</v>
      </c>
      <c r="H377" s="15"/>
      <c r="J377" s="16"/>
      <c r="K377" s="14"/>
      <c r="L377" s="15" t="b">
        <v>0</v>
      </c>
    </row>
    <row r="378" ht="15.75" customHeight="1">
      <c r="B378" s="15"/>
      <c r="D378" s="15"/>
      <c r="E378" s="10" t="s">
        <v>14</v>
      </c>
      <c r="G378" s="11" t="str">
        <f t="shared" si="3"/>
        <v>#DIV/0!</v>
      </c>
      <c r="H378" s="15"/>
      <c r="J378" s="16"/>
      <c r="K378" s="14"/>
      <c r="L378" s="15" t="b">
        <v>0</v>
      </c>
    </row>
    <row r="379" ht="15.75" customHeight="1">
      <c r="B379" s="15"/>
      <c r="D379" s="15"/>
      <c r="E379" s="10" t="s">
        <v>14</v>
      </c>
      <c r="G379" s="11" t="str">
        <f t="shared" si="3"/>
        <v>#DIV/0!</v>
      </c>
      <c r="H379" s="15"/>
      <c r="J379" s="16"/>
      <c r="K379" s="14"/>
      <c r="L379" s="15" t="b">
        <v>0</v>
      </c>
    </row>
    <row r="380" ht="15.75" customHeight="1">
      <c r="B380" s="15"/>
      <c r="D380" s="15"/>
      <c r="E380" s="10" t="s">
        <v>14</v>
      </c>
      <c r="G380" s="11" t="str">
        <f t="shared" si="3"/>
        <v>#DIV/0!</v>
      </c>
      <c r="H380" s="15"/>
      <c r="J380" s="16"/>
      <c r="K380" s="14"/>
      <c r="L380" s="15" t="b">
        <v>0</v>
      </c>
    </row>
    <row r="381" ht="15.75" customHeight="1">
      <c r="B381" s="15"/>
      <c r="D381" s="15"/>
      <c r="E381" s="10" t="s">
        <v>14</v>
      </c>
      <c r="G381" s="11" t="str">
        <f t="shared" si="3"/>
        <v>#DIV/0!</v>
      </c>
      <c r="H381" s="15"/>
      <c r="J381" s="16"/>
      <c r="K381" s="14"/>
      <c r="L381" s="15" t="b">
        <v>0</v>
      </c>
    </row>
    <row r="382" ht="15.75" customHeight="1">
      <c r="B382" s="15"/>
      <c r="D382" s="15"/>
      <c r="E382" s="10" t="s">
        <v>14</v>
      </c>
      <c r="G382" s="11" t="str">
        <f t="shared" si="3"/>
        <v>#DIV/0!</v>
      </c>
      <c r="H382" s="15"/>
      <c r="J382" s="16"/>
      <c r="K382" s="14"/>
      <c r="L382" s="15" t="b">
        <v>0</v>
      </c>
    </row>
    <row r="383" ht="15.75" customHeight="1">
      <c r="B383" s="15"/>
      <c r="D383" s="15"/>
      <c r="E383" s="10" t="s">
        <v>14</v>
      </c>
      <c r="G383" s="11" t="str">
        <f t="shared" si="3"/>
        <v>#DIV/0!</v>
      </c>
      <c r="H383" s="15"/>
      <c r="J383" s="16"/>
      <c r="K383" s="14"/>
      <c r="L383" s="15" t="b">
        <v>0</v>
      </c>
    </row>
    <row r="384" ht="15.75" customHeight="1">
      <c r="B384" s="15"/>
      <c r="D384" s="15"/>
      <c r="E384" s="10" t="s">
        <v>14</v>
      </c>
      <c r="G384" s="11" t="str">
        <f t="shared" si="3"/>
        <v>#DIV/0!</v>
      </c>
      <c r="H384" s="15"/>
      <c r="J384" s="16"/>
      <c r="K384" s="14"/>
      <c r="L384" s="15" t="b">
        <v>0</v>
      </c>
    </row>
    <row r="385" ht="15.75" customHeight="1">
      <c r="B385" s="15"/>
      <c r="D385" s="15"/>
      <c r="E385" s="10" t="s">
        <v>14</v>
      </c>
      <c r="G385" s="11" t="str">
        <f t="shared" si="3"/>
        <v>#DIV/0!</v>
      </c>
      <c r="H385" s="15"/>
      <c r="J385" s="16"/>
      <c r="K385" s="14"/>
      <c r="L385" s="15" t="b">
        <v>0</v>
      </c>
    </row>
    <row r="386" ht="15.75" customHeight="1">
      <c r="B386" s="15"/>
      <c r="D386" s="15"/>
      <c r="E386" s="10" t="s">
        <v>14</v>
      </c>
      <c r="G386" s="11" t="str">
        <f t="shared" si="3"/>
        <v>#DIV/0!</v>
      </c>
      <c r="H386" s="15"/>
      <c r="J386" s="16"/>
      <c r="K386" s="14"/>
      <c r="L386" s="15" t="b">
        <v>0</v>
      </c>
    </row>
    <row r="387" ht="15.75" customHeight="1">
      <c r="B387" s="15"/>
      <c r="D387" s="15"/>
      <c r="E387" s="10" t="s">
        <v>14</v>
      </c>
      <c r="G387" s="11" t="str">
        <f t="shared" si="3"/>
        <v>#DIV/0!</v>
      </c>
      <c r="H387" s="15"/>
      <c r="J387" s="16"/>
      <c r="K387" s="14"/>
      <c r="L387" s="15" t="b">
        <v>0</v>
      </c>
    </row>
    <row r="388" ht="15.75" customHeight="1">
      <c r="B388" s="15"/>
      <c r="D388" s="15"/>
      <c r="E388" s="10" t="s">
        <v>14</v>
      </c>
      <c r="G388" s="11" t="str">
        <f t="shared" si="3"/>
        <v>#DIV/0!</v>
      </c>
      <c r="H388" s="15"/>
      <c r="J388" s="16"/>
      <c r="K388" s="14"/>
      <c r="L388" s="15" t="b">
        <v>0</v>
      </c>
    </row>
    <row r="389" ht="15.75" customHeight="1">
      <c r="B389" s="15"/>
      <c r="D389" s="15"/>
      <c r="E389" s="10" t="s">
        <v>14</v>
      </c>
      <c r="G389" s="14"/>
      <c r="H389" s="15"/>
      <c r="J389" s="16"/>
      <c r="K389" s="14"/>
      <c r="L389" s="15" t="b">
        <v>0</v>
      </c>
    </row>
    <row r="390" ht="15.75" customHeight="1">
      <c r="B390" s="15"/>
      <c r="D390" s="15"/>
      <c r="E390" s="10" t="s">
        <v>14</v>
      </c>
      <c r="G390" s="14"/>
      <c r="H390" s="15"/>
      <c r="J390" s="16"/>
      <c r="K390" s="14"/>
      <c r="L390" s="15" t="b">
        <v>0</v>
      </c>
    </row>
    <row r="391" ht="15.75" customHeight="1">
      <c r="B391" s="15"/>
      <c r="D391" s="15"/>
      <c r="E391" s="10" t="s">
        <v>14</v>
      </c>
      <c r="G391" s="14"/>
      <c r="H391" s="15"/>
      <c r="J391" s="16"/>
      <c r="K391" s="14"/>
      <c r="L391" s="15" t="b">
        <v>0</v>
      </c>
    </row>
    <row r="392" ht="15.75" customHeight="1">
      <c r="B392" s="15"/>
      <c r="D392" s="15"/>
      <c r="E392" s="10" t="s">
        <v>14</v>
      </c>
      <c r="G392" s="14"/>
      <c r="H392" s="15"/>
      <c r="J392" s="16"/>
      <c r="K392" s="14"/>
      <c r="L392" s="15" t="b">
        <v>0</v>
      </c>
    </row>
    <row r="393" ht="15.75" customHeight="1">
      <c r="B393" s="15"/>
      <c r="D393" s="15"/>
      <c r="E393" s="10" t="s">
        <v>14</v>
      </c>
      <c r="G393" s="14"/>
      <c r="H393" s="15"/>
      <c r="J393" s="16"/>
      <c r="K393" s="14"/>
      <c r="L393" s="15" t="b">
        <v>0</v>
      </c>
    </row>
    <row r="394" ht="15.75" customHeight="1">
      <c r="B394" s="15"/>
      <c r="D394" s="15"/>
      <c r="E394" s="10" t="s">
        <v>14</v>
      </c>
      <c r="G394" s="14"/>
      <c r="H394" s="15"/>
      <c r="J394" s="16"/>
      <c r="K394" s="14"/>
      <c r="L394" s="15" t="b">
        <v>0</v>
      </c>
    </row>
    <row r="395" ht="15.75" customHeight="1">
      <c r="B395" s="15"/>
      <c r="D395" s="15"/>
      <c r="E395" s="10" t="s">
        <v>14</v>
      </c>
      <c r="G395" s="14"/>
      <c r="H395" s="15"/>
      <c r="J395" s="16"/>
      <c r="K395" s="14"/>
      <c r="L395" s="15" t="b">
        <v>0</v>
      </c>
    </row>
    <row r="396" ht="15.75" customHeight="1">
      <c r="B396" s="15"/>
      <c r="D396" s="15"/>
      <c r="E396" s="10" t="s">
        <v>14</v>
      </c>
      <c r="G396" s="14"/>
      <c r="H396" s="15"/>
      <c r="J396" s="16"/>
      <c r="K396" s="14"/>
      <c r="L396" s="15" t="b">
        <v>0</v>
      </c>
    </row>
    <row r="397" ht="15.75" customHeight="1">
      <c r="B397" s="15"/>
      <c r="D397" s="15"/>
      <c r="E397" s="10" t="s">
        <v>14</v>
      </c>
      <c r="G397" s="14"/>
      <c r="H397" s="15"/>
      <c r="J397" s="16"/>
      <c r="K397" s="14"/>
      <c r="L397" s="15" t="b">
        <v>0</v>
      </c>
    </row>
    <row r="398" ht="15.75" customHeight="1">
      <c r="B398" s="15"/>
      <c r="D398" s="15"/>
      <c r="E398" s="10" t="s">
        <v>14</v>
      </c>
      <c r="G398" s="14"/>
      <c r="H398" s="15"/>
      <c r="J398" s="16"/>
      <c r="K398" s="14"/>
      <c r="L398" s="15" t="b">
        <v>0</v>
      </c>
    </row>
    <row r="399" ht="15.75" customHeight="1">
      <c r="B399" s="15"/>
      <c r="D399" s="15"/>
      <c r="E399" s="10" t="s">
        <v>14</v>
      </c>
      <c r="G399" s="14"/>
      <c r="H399" s="15"/>
      <c r="J399" s="16"/>
      <c r="K399" s="14"/>
      <c r="L399" s="15" t="b">
        <v>0</v>
      </c>
    </row>
    <row r="400" ht="15.75" customHeight="1">
      <c r="B400" s="15"/>
      <c r="D400" s="15"/>
      <c r="E400" s="10" t="s">
        <v>14</v>
      </c>
      <c r="G400" s="14"/>
      <c r="H400" s="15"/>
      <c r="J400" s="16"/>
      <c r="K400" s="14"/>
      <c r="L400" s="15" t="b">
        <v>0</v>
      </c>
    </row>
    <row r="401" ht="15.75" customHeight="1">
      <c r="B401" s="15"/>
      <c r="D401" s="15"/>
      <c r="E401" s="10" t="s">
        <v>14</v>
      </c>
      <c r="G401" s="14"/>
      <c r="H401" s="15"/>
      <c r="J401" s="16"/>
      <c r="K401" s="14"/>
      <c r="L401" s="15" t="b">
        <v>0</v>
      </c>
    </row>
    <row r="402" ht="15.75" customHeight="1">
      <c r="B402" s="15"/>
      <c r="D402" s="15"/>
      <c r="E402" s="10" t="s">
        <v>14</v>
      </c>
      <c r="G402" s="14"/>
      <c r="H402" s="15"/>
      <c r="J402" s="16"/>
      <c r="K402" s="14"/>
      <c r="L402" s="15" t="b">
        <v>0</v>
      </c>
    </row>
    <row r="403" ht="15.75" customHeight="1">
      <c r="B403" s="15"/>
      <c r="D403" s="15"/>
      <c r="E403" s="10" t="s">
        <v>14</v>
      </c>
      <c r="G403" s="14"/>
      <c r="H403" s="15"/>
      <c r="J403" s="16"/>
      <c r="K403" s="14"/>
      <c r="L403" s="15" t="b">
        <v>0</v>
      </c>
    </row>
    <row r="404" ht="15.75" customHeight="1">
      <c r="B404" s="15"/>
      <c r="D404" s="15"/>
      <c r="E404" s="10" t="s">
        <v>14</v>
      </c>
      <c r="G404" s="14"/>
      <c r="H404" s="15"/>
      <c r="J404" s="16"/>
      <c r="K404" s="14"/>
      <c r="L404" s="15" t="b">
        <v>0</v>
      </c>
    </row>
    <row r="405" ht="15.75" customHeight="1">
      <c r="B405" s="15"/>
      <c r="D405" s="15"/>
      <c r="E405" s="10" t="s">
        <v>14</v>
      </c>
      <c r="G405" s="14"/>
      <c r="H405" s="15"/>
      <c r="J405" s="16"/>
      <c r="K405" s="14"/>
      <c r="L405" s="15" t="b">
        <v>0</v>
      </c>
    </row>
    <row r="406" ht="15.75" customHeight="1">
      <c r="B406" s="15"/>
      <c r="D406" s="15"/>
      <c r="E406" s="10" t="s">
        <v>14</v>
      </c>
      <c r="G406" s="14"/>
      <c r="H406" s="15"/>
      <c r="J406" s="16"/>
      <c r="K406" s="14"/>
      <c r="L406" s="15" t="b">
        <v>0</v>
      </c>
    </row>
    <row r="407" ht="15.75" customHeight="1">
      <c r="B407" s="15"/>
      <c r="D407" s="15"/>
      <c r="E407" s="10" t="s">
        <v>14</v>
      </c>
      <c r="G407" s="14"/>
      <c r="H407" s="15"/>
      <c r="J407" s="16"/>
      <c r="K407" s="14"/>
      <c r="L407" s="15" t="b">
        <v>0</v>
      </c>
    </row>
    <row r="408" ht="15.75" customHeight="1">
      <c r="B408" s="15"/>
      <c r="D408" s="15"/>
      <c r="E408" s="10" t="s">
        <v>14</v>
      </c>
      <c r="G408" s="14"/>
      <c r="H408" s="15"/>
      <c r="J408" s="16"/>
      <c r="K408" s="14"/>
      <c r="L408" s="15" t="b">
        <v>0</v>
      </c>
    </row>
    <row r="409" ht="15.75" customHeight="1">
      <c r="B409" s="15"/>
      <c r="D409" s="15"/>
      <c r="E409" s="10" t="s">
        <v>14</v>
      </c>
      <c r="G409" s="14"/>
      <c r="H409" s="15"/>
      <c r="J409" s="16"/>
      <c r="K409" s="14"/>
      <c r="L409" s="15" t="b">
        <v>0</v>
      </c>
    </row>
    <row r="410" ht="15.75" customHeight="1">
      <c r="B410" s="15"/>
      <c r="D410" s="15"/>
      <c r="E410" s="10" t="s">
        <v>14</v>
      </c>
      <c r="G410" s="14"/>
      <c r="H410" s="15"/>
      <c r="J410" s="16"/>
      <c r="K410" s="14"/>
      <c r="L410" s="15" t="b">
        <v>0</v>
      </c>
    </row>
    <row r="411" ht="15.75" customHeight="1">
      <c r="B411" s="15"/>
      <c r="D411" s="15"/>
      <c r="E411" s="10" t="s">
        <v>14</v>
      </c>
      <c r="G411" s="14"/>
      <c r="H411" s="15"/>
      <c r="J411" s="16"/>
      <c r="K411" s="14"/>
      <c r="L411" s="15" t="b">
        <v>0</v>
      </c>
    </row>
    <row r="412" ht="15.75" customHeight="1">
      <c r="B412" s="15"/>
      <c r="E412" s="10" t="s">
        <v>14</v>
      </c>
      <c r="G412" s="14"/>
      <c r="H412" s="15"/>
      <c r="J412" s="16"/>
      <c r="K412" s="14"/>
      <c r="L412" s="15" t="b">
        <v>0</v>
      </c>
    </row>
    <row r="413" ht="15.75" customHeight="1">
      <c r="B413" s="15"/>
      <c r="E413" s="10" t="s">
        <v>14</v>
      </c>
      <c r="G413" s="14"/>
      <c r="H413" s="15"/>
      <c r="J413" s="16"/>
      <c r="K413" s="14"/>
      <c r="L413" s="15" t="b">
        <v>0</v>
      </c>
    </row>
    <row r="414" ht="15.75" customHeight="1">
      <c r="B414" s="15"/>
      <c r="E414" s="10" t="s">
        <v>14</v>
      </c>
      <c r="G414" s="14"/>
      <c r="H414" s="15"/>
      <c r="J414" s="16"/>
      <c r="K414" s="14"/>
      <c r="L414" s="15" t="b">
        <v>0</v>
      </c>
    </row>
    <row r="415" ht="15.75" customHeight="1">
      <c r="B415" s="15"/>
      <c r="E415" s="10" t="s">
        <v>14</v>
      </c>
      <c r="G415" s="14"/>
      <c r="H415" s="15"/>
      <c r="J415" s="16"/>
      <c r="K415" s="14"/>
      <c r="L415" s="15" t="b">
        <v>0</v>
      </c>
    </row>
    <row r="416" ht="15.75" customHeight="1">
      <c r="B416" s="15"/>
      <c r="E416" s="10" t="s">
        <v>14</v>
      </c>
      <c r="G416" s="14"/>
      <c r="H416" s="15"/>
      <c r="J416" s="16"/>
      <c r="K416" s="14"/>
      <c r="L416" s="15" t="b">
        <v>0</v>
      </c>
    </row>
    <row r="417" ht="15.75" customHeight="1">
      <c r="B417" s="15"/>
      <c r="E417" s="10" t="s">
        <v>14</v>
      </c>
      <c r="G417" s="14"/>
      <c r="H417" s="15"/>
      <c r="J417" s="16"/>
      <c r="K417" s="14"/>
      <c r="L417" s="15" t="b">
        <v>0</v>
      </c>
    </row>
    <row r="418" ht="15.75" customHeight="1">
      <c r="B418" s="15"/>
      <c r="E418" s="10" t="s">
        <v>14</v>
      </c>
      <c r="G418" s="14"/>
      <c r="H418" s="15"/>
      <c r="J418" s="16"/>
      <c r="K418" s="14"/>
      <c r="L418" s="15" t="b">
        <v>0</v>
      </c>
    </row>
    <row r="419" ht="15.75" customHeight="1">
      <c r="B419" s="15"/>
      <c r="E419" s="10" t="s">
        <v>14</v>
      </c>
      <c r="G419" s="14"/>
      <c r="H419" s="15"/>
      <c r="J419" s="16"/>
      <c r="K419" s="14"/>
      <c r="L419" s="15" t="b">
        <v>0</v>
      </c>
    </row>
    <row r="420" ht="15.75" customHeight="1">
      <c r="B420" s="15"/>
      <c r="E420" s="10" t="s">
        <v>14</v>
      </c>
      <c r="G420" s="14"/>
      <c r="H420" s="15"/>
      <c r="J420" s="16"/>
      <c r="K420" s="14"/>
      <c r="L420" s="15" t="b">
        <v>0</v>
      </c>
    </row>
    <row r="421" ht="15.75" customHeight="1">
      <c r="B421" s="15"/>
      <c r="E421" s="10" t="s">
        <v>14</v>
      </c>
      <c r="G421" s="14"/>
      <c r="H421" s="15"/>
      <c r="J421" s="16"/>
      <c r="K421" s="14"/>
      <c r="L421" s="15" t="b">
        <v>0</v>
      </c>
    </row>
    <row r="422" ht="15.75" customHeight="1">
      <c r="B422" s="15"/>
      <c r="E422" s="10" t="s">
        <v>14</v>
      </c>
      <c r="G422" s="14"/>
      <c r="H422" s="15"/>
      <c r="J422" s="16"/>
      <c r="K422" s="14"/>
      <c r="L422" s="15" t="b">
        <v>0</v>
      </c>
    </row>
    <row r="423" ht="15.75" customHeight="1">
      <c r="B423" s="15"/>
      <c r="E423" s="10" t="s">
        <v>14</v>
      </c>
      <c r="G423" s="14"/>
      <c r="H423" s="15"/>
      <c r="J423" s="16"/>
      <c r="K423" s="14"/>
      <c r="L423" s="15" t="b">
        <v>0</v>
      </c>
    </row>
    <row r="424" ht="15.75" customHeight="1">
      <c r="B424" s="15"/>
      <c r="E424" s="10" t="s">
        <v>14</v>
      </c>
      <c r="G424" s="14"/>
      <c r="H424" s="15"/>
      <c r="J424" s="16"/>
      <c r="K424" s="14"/>
      <c r="L424" s="15" t="b">
        <v>0</v>
      </c>
    </row>
    <row r="425" ht="15.75" customHeight="1">
      <c r="B425" s="15"/>
      <c r="E425" s="10" t="s">
        <v>14</v>
      </c>
      <c r="G425" s="14"/>
      <c r="H425" s="15"/>
      <c r="J425" s="16"/>
      <c r="K425" s="14"/>
      <c r="L425" s="15" t="b">
        <v>0</v>
      </c>
    </row>
    <row r="426" ht="15.75" customHeight="1">
      <c r="B426" s="15"/>
      <c r="E426" s="10" t="s">
        <v>14</v>
      </c>
      <c r="G426" s="14"/>
      <c r="H426" s="15"/>
      <c r="J426" s="16"/>
      <c r="K426" s="14"/>
      <c r="L426" s="15" t="b">
        <v>0</v>
      </c>
    </row>
    <row r="427" ht="15.75" customHeight="1">
      <c r="B427" s="15"/>
      <c r="E427" s="10" t="s">
        <v>14</v>
      </c>
      <c r="G427" s="14"/>
      <c r="H427" s="15"/>
      <c r="J427" s="16"/>
      <c r="K427" s="14"/>
      <c r="L427" s="15" t="b">
        <v>0</v>
      </c>
    </row>
    <row r="428" ht="15.75" customHeight="1">
      <c r="B428" s="15"/>
      <c r="E428" s="10" t="s">
        <v>14</v>
      </c>
      <c r="G428" s="14"/>
      <c r="H428" s="15"/>
      <c r="J428" s="16"/>
      <c r="K428" s="14"/>
      <c r="L428" s="15" t="b">
        <v>0</v>
      </c>
    </row>
    <row r="429" ht="15.75" customHeight="1">
      <c r="B429" s="15"/>
      <c r="E429" s="10" t="s">
        <v>14</v>
      </c>
      <c r="G429" s="14"/>
      <c r="H429" s="15"/>
      <c r="J429" s="16"/>
      <c r="K429" s="14"/>
      <c r="L429" s="15" t="b">
        <v>0</v>
      </c>
    </row>
    <row r="430" ht="15.75" customHeight="1">
      <c r="B430" s="15"/>
      <c r="E430" s="10" t="s">
        <v>14</v>
      </c>
      <c r="G430" s="14"/>
      <c r="H430" s="15"/>
      <c r="J430" s="16"/>
      <c r="K430" s="14"/>
      <c r="L430" s="15" t="b">
        <v>0</v>
      </c>
    </row>
    <row r="431" ht="15.75" customHeight="1">
      <c r="B431" s="15"/>
      <c r="E431" s="10" t="s">
        <v>14</v>
      </c>
      <c r="G431" s="14"/>
      <c r="H431" s="15"/>
      <c r="J431" s="16"/>
      <c r="K431" s="14"/>
      <c r="L431" s="15" t="b">
        <v>0</v>
      </c>
    </row>
    <row r="432" ht="15.75" customHeight="1">
      <c r="B432" s="15"/>
      <c r="E432" s="10" t="s">
        <v>14</v>
      </c>
      <c r="G432" s="14"/>
      <c r="H432" s="15"/>
      <c r="J432" s="16"/>
      <c r="K432" s="14"/>
      <c r="L432" s="15" t="b">
        <v>0</v>
      </c>
    </row>
    <row r="433" ht="15.75" customHeight="1">
      <c r="B433" s="15"/>
      <c r="E433" s="10" t="s">
        <v>14</v>
      </c>
      <c r="G433" s="14"/>
      <c r="H433" s="15"/>
      <c r="J433" s="16"/>
      <c r="K433" s="14"/>
      <c r="L433" s="15" t="b">
        <v>0</v>
      </c>
    </row>
    <row r="434" ht="15.75" customHeight="1">
      <c r="B434" s="15"/>
      <c r="E434" s="10" t="s">
        <v>14</v>
      </c>
      <c r="G434" s="14"/>
      <c r="H434" s="15"/>
      <c r="J434" s="16"/>
      <c r="K434" s="14"/>
      <c r="L434" s="15" t="b">
        <v>0</v>
      </c>
    </row>
    <row r="435" ht="15.75" customHeight="1">
      <c r="B435" s="15"/>
      <c r="E435" s="10" t="s">
        <v>14</v>
      </c>
      <c r="G435" s="14"/>
      <c r="H435" s="15"/>
      <c r="J435" s="16"/>
      <c r="K435" s="14"/>
      <c r="L435" s="15" t="b">
        <v>0</v>
      </c>
    </row>
    <row r="436" ht="15.75" customHeight="1">
      <c r="B436" s="15"/>
      <c r="E436" s="10" t="s">
        <v>14</v>
      </c>
      <c r="G436" s="14"/>
      <c r="H436" s="15"/>
      <c r="J436" s="16"/>
      <c r="K436" s="14"/>
      <c r="L436" s="15" t="b">
        <v>0</v>
      </c>
    </row>
    <row r="437" ht="15.75" customHeight="1">
      <c r="B437" s="15"/>
      <c r="E437" s="10" t="s">
        <v>14</v>
      </c>
      <c r="G437" s="14"/>
      <c r="H437" s="15"/>
      <c r="J437" s="16"/>
      <c r="K437" s="14"/>
      <c r="L437" s="15" t="b">
        <v>0</v>
      </c>
    </row>
    <row r="438" ht="15.75" customHeight="1">
      <c r="B438" s="15"/>
      <c r="E438" s="10" t="s">
        <v>14</v>
      </c>
      <c r="G438" s="14"/>
      <c r="H438" s="15"/>
      <c r="J438" s="16"/>
      <c r="K438" s="14"/>
      <c r="L438" s="15" t="b">
        <v>0</v>
      </c>
    </row>
    <row r="439" ht="15.75" customHeight="1">
      <c r="B439" s="15"/>
      <c r="E439" s="10" t="s">
        <v>14</v>
      </c>
      <c r="G439" s="14"/>
      <c r="H439" s="15"/>
      <c r="J439" s="16"/>
      <c r="K439" s="14"/>
      <c r="L439" s="15" t="b">
        <v>0</v>
      </c>
    </row>
    <row r="440" ht="15.75" customHeight="1">
      <c r="B440" s="10" t="s">
        <v>408</v>
      </c>
      <c r="E440" s="10" t="s">
        <v>14</v>
      </c>
      <c r="G440" s="14"/>
      <c r="H440" s="15"/>
      <c r="J440" s="16"/>
      <c r="K440" s="14"/>
      <c r="L440" s="15" t="b">
        <v>0</v>
      </c>
    </row>
    <row r="441" ht="15.75" customHeight="1">
      <c r="B441" s="15"/>
      <c r="E441" s="10" t="s">
        <v>14</v>
      </c>
      <c r="G441" s="14"/>
      <c r="H441" s="15"/>
      <c r="J441" s="16"/>
      <c r="K441" s="14"/>
      <c r="L441" s="15" t="b">
        <v>0</v>
      </c>
    </row>
    <row r="442" ht="15.75" customHeight="1">
      <c r="B442" s="15"/>
      <c r="E442" s="10" t="s">
        <v>14</v>
      </c>
      <c r="G442" s="14"/>
      <c r="H442" s="15"/>
      <c r="J442" s="16"/>
      <c r="K442" s="14"/>
      <c r="L442" s="15" t="b">
        <v>0</v>
      </c>
    </row>
    <row r="443" ht="15.75" customHeight="1">
      <c r="B443" s="15"/>
      <c r="E443" s="10" t="s">
        <v>14</v>
      </c>
      <c r="G443" s="14"/>
      <c r="H443" s="15"/>
      <c r="J443" s="16"/>
      <c r="K443" s="14"/>
      <c r="L443" s="15" t="b">
        <v>0</v>
      </c>
    </row>
    <row r="444" ht="15.75" customHeight="1">
      <c r="B444" s="15"/>
      <c r="E444" s="10" t="s">
        <v>14</v>
      </c>
      <c r="G444" s="14"/>
      <c r="H444" s="15"/>
      <c r="J444" s="16"/>
      <c r="K444" s="14"/>
      <c r="L444" s="15" t="b">
        <v>0</v>
      </c>
    </row>
    <row r="445" ht="15.75" customHeight="1">
      <c r="B445" s="15"/>
      <c r="E445" s="10" t="s">
        <v>14</v>
      </c>
      <c r="G445" s="14"/>
      <c r="H445" s="15"/>
      <c r="J445" s="16"/>
      <c r="K445" s="14"/>
      <c r="L445" s="15" t="b">
        <v>0</v>
      </c>
    </row>
    <row r="446" ht="15.75" customHeight="1">
      <c r="B446" s="15"/>
      <c r="E446" s="10" t="s">
        <v>14</v>
      </c>
      <c r="G446" s="14"/>
      <c r="H446" s="15"/>
      <c r="J446" s="16"/>
      <c r="K446" s="14"/>
      <c r="L446" s="15" t="b">
        <v>0</v>
      </c>
    </row>
    <row r="447" ht="15.75" customHeight="1">
      <c r="B447" s="15"/>
      <c r="E447" s="10" t="s">
        <v>14</v>
      </c>
      <c r="G447" s="14"/>
      <c r="H447" s="15"/>
      <c r="J447" s="16"/>
      <c r="K447" s="14"/>
      <c r="L447" s="15" t="b">
        <v>0</v>
      </c>
    </row>
    <row r="448" ht="15.75" customHeight="1">
      <c r="G448" s="14"/>
      <c r="J448" s="16"/>
      <c r="K448" s="14"/>
      <c r="L448" s="15" t="b">
        <v>0</v>
      </c>
    </row>
    <row r="449" ht="15.75" customHeight="1">
      <c r="G449" s="14"/>
      <c r="J449" s="16"/>
      <c r="K449" s="14"/>
      <c r="L449" s="15" t="b">
        <v>0</v>
      </c>
    </row>
    <row r="450" ht="15.75" customHeight="1">
      <c r="G450" s="14"/>
      <c r="J450" s="16"/>
      <c r="K450" s="14"/>
      <c r="L450" s="15" t="b">
        <v>0</v>
      </c>
    </row>
    <row r="451" ht="15.75" customHeight="1">
      <c r="G451" s="14"/>
      <c r="J451" s="16"/>
      <c r="K451" s="14"/>
      <c r="L451" s="15" t="b">
        <v>0</v>
      </c>
    </row>
    <row r="452" ht="15.75" customHeight="1">
      <c r="G452" s="14"/>
      <c r="J452" s="16"/>
      <c r="K452" s="14"/>
      <c r="L452" s="15" t="b">
        <v>0</v>
      </c>
    </row>
    <row r="453" ht="15.75" customHeight="1">
      <c r="G453" s="14"/>
      <c r="J453" s="16"/>
      <c r="K453" s="14"/>
      <c r="L453" s="15" t="b">
        <v>0</v>
      </c>
    </row>
    <row r="454" ht="15.75" customHeight="1">
      <c r="G454" s="14"/>
      <c r="J454" s="16"/>
      <c r="K454" s="14"/>
      <c r="L454" s="15" t="b">
        <v>0</v>
      </c>
    </row>
    <row r="455" ht="15.75" customHeight="1">
      <c r="G455" s="14"/>
      <c r="J455" s="16"/>
      <c r="K455" s="14"/>
      <c r="L455" s="15" t="b">
        <v>0</v>
      </c>
    </row>
    <row r="456" ht="15.75" customHeight="1">
      <c r="G456" s="14"/>
      <c r="J456" s="16"/>
      <c r="K456" s="14"/>
      <c r="L456" s="15" t="b">
        <v>0</v>
      </c>
    </row>
    <row r="457" ht="15.75" customHeight="1">
      <c r="G457" s="14"/>
      <c r="J457" s="16"/>
      <c r="K457" s="14"/>
      <c r="L457" s="15" t="b">
        <v>0</v>
      </c>
    </row>
    <row r="458" ht="15.75" customHeight="1">
      <c r="G458" s="14"/>
      <c r="J458" s="16"/>
      <c r="K458" s="14"/>
      <c r="L458" s="15" t="b">
        <v>0</v>
      </c>
    </row>
    <row r="459" ht="15.75" customHeight="1">
      <c r="G459" s="14"/>
      <c r="J459" s="16"/>
      <c r="K459" s="14"/>
      <c r="L459" s="15" t="b">
        <v>0</v>
      </c>
    </row>
    <row r="460" ht="15.75" customHeight="1">
      <c r="G460" s="14"/>
      <c r="J460" s="16"/>
      <c r="K460" s="14"/>
      <c r="L460" s="15" t="b">
        <v>0</v>
      </c>
    </row>
    <row r="461" ht="15.75" customHeight="1">
      <c r="G461" s="14"/>
      <c r="J461" s="16"/>
      <c r="K461" s="14"/>
      <c r="L461" s="15" t="b">
        <v>0</v>
      </c>
    </row>
    <row r="462" ht="15.75" customHeight="1">
      <c r="G462" s="14"/>
      <c r="J462" s="16"/>
      <c r="K462" s="14"/>
      <c r="L462" s="15" t="b">
        <v>0</v>
      </c>
    </row>
    <row r="463" ht="15.75" customHeight="1">
      <c r="G463" s="14"/>
      <c r="J463" s="16"/>
      <c r="K463" s="14"/>
      <c r="L463" s="15" t="b">
        <v>0</v>
      </c>
    </row>
    <row r="464" ht="15.75" customHeight="1">
      <c r="G464" s="14"/>
      <c r="J464" s="16"/>
      <c r="K464" s="14"/>
      <c r="L464" s="15" t="b">
        <v>0</v>
      </c>
    </row>
    <row r="465" ht="15.75" customHeight="1">
      <c r="G465" s="14"/>
      <c r="J465" s="16"/>
      <c r="K465" s="14"/>
      <c r="L465" s="15" t="b">
        <v>0</v>
      </c>
    </row>
    <row r="466" ht="15.75" customHeight="1">
      <c r="G466" s="14"/>
      <c r="J466" s="16"/>
      <c r="K466" s="14"/>
      <c r="L466" s="15" t="b">
        <v>0</v>
      </c>
    </row>
    <row r="467" ht="15.75" customHeight="1">
      <c r="G467" s="14"/>
      <c r="J467" s="16"/>
      <c r="K467" s="14"/>
      <c r="L467" s="15" t="b">
        <v>0</v>
      </c>
    </row>
    <row r="468" ht="15.75" customHeight="1">
      <c r="G468" s="14"/>
      <c r="J468" s="16"/>
      <c r="K468" s="14"/>
      <c r="L468" s="15" t="b">
        <v>0</v>
      </c>
    </row>
    <row r="469" ht="15.75" customHeight="1">
      <c r="G469" s="14"/>
      <c r="J469" s="16"/>
      <c r="K469" s="14"/>
      <c r="L469" s="15" t="b">
        <v>0</v>
      </c>
    </row>
    <row r="470" ht="15.75" customHeight="1">
      <c r="G470" s="14"/>
      <c r="J470" s="16"/>
      <c r="K470" s="14"/>
      <c r="L470" s="15" t="b">
        <v>0</v>
      </c>
    </row>
    <row r="471" ht="15.75" customHeight="1">
      <c r="G471" s="14"/>
      <c r="J471" s="16"/>
      <c r="K471" s="14"/>
      <c r="L471" s="15" t="b">
        <v>0</v>
      </c>
    </row>
    <row r="472" ht="15.75" customHeight="1">
      <c r="G472" s="14"/>
      <c r="J472" s="16"/>
      <c r="K472" s="14"/>
      <c r="L472" s="15" t="b">
        <v>0</v>
      </c>
    </row>
    <row r="473" ht="15.75" customHeight="1">
      <c r="G473" s="14"/>
      <c r="J473" s="16"/>
      <c r="K473" s="14"/>
      <c r="L473" s="15" t="b">
        <v>0</v>
      </c>
    </row>
    <row r="474" ht="15.75" customHeight="1">
      <c r="G474" s="14"/>
      <c r="J474" s="16"/>
      <c r="K474" s="14"/>
      <c r="L474" s="15" t="b">
        <v>0</v>
      </c>
    </row>
    <row r="475" ht="15.75" customHeight="1">
      <c r="G475" s="14"/>
      <c r="J475" s="16"/>
      <c r="K475" s="14"/>
      <c r="L475" s="15" t="b">
        <v>0</v>
      </c>
    </row>
    <row r="476" ht="15.75" customHeight="1">
      <c r="G476" s="14"/>
      <c r="J476" s="16"/>
      <c r="K476" s="14"/>
      <c r="L476" s="15" t="b">
        <v>0</v>
      </c>
    </row>
    <row r="477" ht="15.75" customHeight="1">
      <c r="G477" s="14"/>
      <c r="J477" s="16"/>
      <c r="K477" s="14"/>
      <c r="L477" s="15" t="b">
        <v>0</v>
      </c>
    </row>
    <row r="478" ht="15.75" customHeight="1">
      <c r="G478" s="14"/>
      <c r="J478" s="16"/>
      <c r="K478" s="14"/>
      <c r="L478" s="15" t="b">
        <v>0</v>
      </c>
    </row>
    <row r="479" ht="15.75" customHeight="1">
      <c r="G479" s="14"/>
      <c r="J479" s="16"/>
      <c r="K479" s="14"/>
      <c r="L479" s="15" t="b">
        <v>0</v>
      </c>
    </row>
    <row r="480" ht="15.75" customHeight="1">
      <c r="G480" s="14"/>
      <c r="J480" s="16"/>
      <c r="K480" s="14"/>
      <c r="L480" s="15" t="b">
        <v>0</v>
      </c>
    </row>
    <row r="481" ht="15.75" customHeight="1">
      <c r="G481" s="14"/>
      <c r="J481" s="16"/>
      <c r="K481" s="14"/>
      <c r="L481" s="15" t="b">
        <v>0</v>
      </c>
    </row>
    <row r="482" ht="15.75" customHeight="1">
      <c r="G482" s="14"/>
      <c r="J482" s="16"/>
      <c r="K482" s="14"/>
      <c r="L482" s="15" t="b">
        <v>0</v>
      </c>
    </row>
    <row r="483" ht="15.75" customHeight="1">
      <c r="G483" s="14"/>
      <c r="J483" s="16"/>
      <c r="K483" s="14"/>
      <c r="L483" s="15" t="b">
        <v>0</v>
      </c>
    </row>
    <row r="484" ht="15.75" customHeight="1">
      <c r="G484" s="14"/>
      <c r="J484" s="16"/>
      <c r="K484" s="14"/>
      <c r="L484" s="15" t="b">
        <v>0</v>
      </c>
    </row>
    <row r="485" ht="15.75" customHeight="1">
      <c r="G485" s="14"/>
      <c r="J485" s="16"/>
      <c r="K485" s="14"/>
      <c r="L485" s="15" t="b">
        <v>0</v>
      </c>
    </row>
    <row r="486" ht="15.75" customHeight="1">
      <c r="G486" s="14"/>
      <c r="J486" s="16"/>
      <c r="K486" s="14"/>
      <c r="L486" s="15" t="b">
        <v>0</v>
      </c>
    </row>
    <row r="487" ht="15.75" customHeight="1">
      <c r="G487" s="14"/>
      <c r="J487" s="16"/>
      <c r="K487" s="14"/>
      <c r="L487" s="15" t="b">
        <v>0</v>
      </c>
    </row>
    <row r="488" ht="15.75" customHeight="1">
      <c r="G488" s="14"/>
      <c r="J488" s="16"/>
      <c r="K488" s="14"/>
      <c r="L488" s="15" t="b">
        <v>0</v>
      </c>
    </row>
    <row r="489" ht="15.75" customHeight="1">
      <c r="G489" s="14"/>
      <c r="J489" s="16"/>
      <c r="K489" s="14"/>
      <c r="L489" s="15" t="b">
        <v>0</v>
      </c>
    </row>
    <row r="490" ht="15.75" customHeight="1">
      <c r="G490" s="14"/>
      <c r="J490" s="16"/>
      <c r="K490" s="14"/>
      <c r="L490" s="15" t="b">
        <v>0</v>
      </c>
    </row>
    <row r="491" ht="15.75" customHeight="1">
      <c r="G491" s="14"/>
      <c r="J491" s="16"/>
      <c r="K491" s="14"/>
      <c r="L491" s="15" t="b">
        <v>0</v>
      </c>
    </row>
    <row r="492" ht="15.75" customHeight="1">
      <c r="G492" s="14"/>
      <c r="J492" s="16"/>
      <c r="K492" s="14"/>
      <c r="L492" s="15" t="b">
        <v>0</v>
      </c>
    </row>
    <row r="493" ht="15.75" customHeight="1">
      <c r="G493" s="14"/>
      <c r="J493" s="16"/>
      <c r="K493" s="14"/>
      <c r="L493" s="15" t="b">
        <v>0</v>
      </c>
    </row>
    <row r="494" ht="15.75" customHeight="1">
      <c r="G494" s="14"/>
      <c r="J494" s="16"/>
      <c r="K494" s="14"/>
      <c r="L494" s="15" t="b">
        <v>0</v>
      </c>
    </row>
    <row r="495" ht="15.75" customHeight="1">
      <c r="G495" s="14"/>
      <c r="J495" s="16"/>
      <c r="K495" s="14"/>
      <c r="L495" s="15" t="b">
        <v>0</v>
      </c>
    </row>
    <row r="496" ht="15.75" customHeight="1">
      <c r="G496" s="14"/>
      <c r="J496" s="16"/>
      <c r="K496" s="14"/>
      <c r="L496" s="15" t="b">
        <v>0</v>
      </c>
    </row>
    <row r="497" ht="15.75" customHeight="1">
      <c r="G497" s="14"/>
      <c r="J497" s="16"/>
      <c r="K497" s="14"/>
      <c r="L497" s="15" t="b">
        <v>0</v>
      </c>
    </row>
    <row r="498" ht="15.75" customHeight="1">
      <c r="G498" s="14"/>
      <c r="J498" s="16"/>
      <c r="K498" s="14"/>
      <c r="L498" s="15" t="b">
        <v>0</v>
      </c>
    </row>
    <row r="499" ht="15.75" customHeight="1">
      <c r="G499" s="14"/>
      <c r="J499" s="16"/>
      <c r="K499" s="14"/>
      <c r="L499" s="15" t="b">
        <v>0</v>
      </c>
    </row>
    <row r="500" ht="15.75" customHeight="1">
      <c r="G500" s="14"/>
      <c r="J500" s="16"/>
      <c r="K500" s="14"/>
      <c r="L500" s="15" t="b">
        <v>0</v>
      </c>
    </row>
    <row r="501" ht="15.75" customHeight="1">
      <c r="G501" s="14"/>
      <c r="J501" s="16"/>
      <c r="K501" s="14"/>
      <c r="L501" s="15" t="b">
        <v>0</v>
      </c>
    </row>
    <row r="502" ht="15.75" customHeight="1">
      <c r="G502" s="14"/>
      <c r="J502" s="16"/>
      <c r="K502" s="14"/>
      <c r="L502" s="15" t="b">
        <v>0</v>
      </c>
    </row>
    <row r="503" ht="15.75" customHeight="1">
      <c r="G503" s="14"/>
      <c r="J503" s="16"/>
      <c r="K503" s="14"/>
      <c r="L503" s="15" t="b">
        <v>0</v>
      </c>
    </row>
    <row r="504" ht="15.75" customHeight="1">
      <c r="G504" s="14"/>
      <c r="J504" s="16"/>
      <c r="K504" s="14"/>
      <c r="L504" s="15" t="b">
        <v>0</v>
      </c>
    </row>
    <row r="505" ht="15.75" customHeight="1">
      <c r="G505" s="14"/>
      <c r="J505" s="16"/>
      <c r="K505" s="14"/>
      <c r="L505" s="15" t="b">
        <v>0</v>
      </c>
    </row>
    <row r="506" ht="15.75" customHeight="1">
      <c r="G506" s="14"/>
      <c r="J506" s="16"/>
      <c r="K506" s="14"/>
      <c r="L506" s="15" t="b">
        <v>0</v>
      </c>
    </row>
    <row r="507" ht="15.75" customHeight="1">
      <c r="G507" s="14"/>
      <c r="J507" s="16"/>
      <c r="K507" s="14"/>
      <c r="L507" s="15" t="b">
        <v>0</v>
      </c>
    </row>
    <row r="508" ht="15.75" customHeight="1">
      <c r="G508" s="14"/>
      <c r="J508" s="16"/>
      <c r="K508" s="14"/>
      <c r="L508" s="15" t="b">
        <v>0</v>
      </c>
    </row>
    <row r="509" ht="15.75" customHeight="1">
      <c r="G509" s="14"/>
      <c r="J509" s="16"/>
      <c r="K509" s="14"/>
      <c r="L509" s="15" t="b">
        <v>0</v>
      </c>
    </row>
    <row r="510" ht="15.75" customHeight="1">
      <c r="G510" s="14"/>
      <c r="J510" s="16"/>
      <c r="K510" s="14"/>
      <c r="L510" s="15" t="b">
        <v>0</v>
      </c>
    </row>
    <row r="511" ht="15.75" customHeight="1">
      <c r="G511" s="14"/>
      <c r="J511" s="16"/>
      <c r="K511" s="14"/>
      <c r="L511" s="15" t="b">
        <v>0</v>
      </c>
    </row>
    <row r="512" ht="15.75" customHeight="1">
      <c r="G512" s="14"/>
      <c r="J512" s="16"/>
      <c r="K512" s="14"/>
      <c r="L512" s="15" t="b">
        <v>0</v>
      </c>
    </row>
    <row r="513" ht="15.75" customHeight="1">
      <c r="G513" s="14"/>
      <c r="J513" s="16"/>
      <c r="K513" s="14"/>
      <c r="L513" s="15" t="b">
        <v>0</v>
      </c>
    </row>
    <row r="514" ht="15.75" customHeight="1">
      <c r="G514" s="14"/>
      <c r="J514" s="16"/>
      <c r="K514" s="14"/>
      <c r="L514" s="15" t="b">
        <v>0</v>
      </c>
    </row>
    <row r="515" ht="15.75" customHeight="1">
      <c r="G515" s="14"/>
      <c r="J515" s="16"/>
      <c r="K515" s="14"/>
      <c r="L515" s="15" t="b">
        <v>0</v>
      </c>
    </row>
    <row r="516" ht="15.75" customHeight="1">
      <c r="G516" s="14"/>
      <c r="J516" s="16"/>
      <c r="K516" s="14"/>
      <c r="L516" s="15" t="b">
        <v>0</v>
      </c>
    </row>
    <row r="517" ht="15.75" customHeight="1">
      <c r="G517" s="14"/>
      <c r="J517" s="16"/>
      <c r="K517" s="14"/>
      <c r="L517" s="15" t="b">
        <v>0</v>
      </c>
    </row>
    <row r="518" ht="15.75" customHeight="1">
      <c r="G518" s="14"/>
      <c r="J518" s="16"/>
      <c r="K518" s="14"/>
      <c r="L518" s="15" t="b">
        <v>0</v>
      </c>
    </row>
    <row r="519" ht="15.75" customHeight="1">
      <c r="G519" s="14"/>
      <c r="J519" s="16"/>
      <c r="K519" s="14"/>
      <c r="L519" s="15" t="b">
        <v>0</v>
      </c>
    </row>
    <row r="520" ht="15.75" customHeight="1">
      <c r="G520" s="14"/>
      <c r="J520" s="16"/>
      <c r="K520" s="14"/>
      <c r="L520" s="15" t="b">
        <v>0</v>
      </c>
    </row>
    <row r="521" ht="15.75" customHeight="1">
      <c r="G521" s="14"/>
      <c r="J521" s="16"/>
      <c r="K521" s="14"/>
      <c r="L521" s="15" t="b">
        <v>0</v>
      </c>
    </row>
    <row r="522" ht="15.75" customHeight="1">
      <c r="G522" s="14"/>
      <c r="J522" s="16"/>
      <c r="K522" s="14"/>
      <c r="L522" s="15" t="b">
        <v>0</v>
      </c>
    </row>
    <row r="523" ht="15.75" customHeight="1">
      <c r="G523" s="14"/>
      <c r="J523" s="16"/>
      <c r="K523" s="14"/>
      <c r="L523" s="15" t="b">
        <v>0</v>
      </c>
    </row>
    <row r="524" ht="15.75" customHeight="1">
      <c r="G524" s="14"/>
      <c r="J524" s="16"/>
      <c r="K524" s="14"/>
      <c r="L524" s="15" t="b">
        <v>0</v>
      </c>
    </row>
    <row r="525" ht="15.75" customHeight="1">
      <c r="G525" s="14"/>
      <c r="J525" s="16"/>
      <c r="K525" s="14"/>
      <c r="L525" s="15" t="b">
        <v>0</v>
      </c>
    </row>
    <row r="526" ht="15.75" customHeight="1">
      <c r="G526" s="14"/>
      <c r="J526" s="16"/>
      <c r="K526" s="14"/>
      <c r="L526" s="15" t="b">
        <v>0</v>
      </c>
    </row>
    <row r="527" ht="15.75" customHeight="1">
      <c r="G527" s="14"/>
      <c r="J527" s="16"/>
      <c r="K527" s="14"/>
      <c r="L527" s="15" t="b">
        <v>0</v>
      </c>
    </row>
    <row r="528" ht="15.75" customHeight="1">
      <c r="G528" s="14"/>
      <c r="J528" s="16"/>
      <c r="K528" s="14"/>
      <c r="L528" s="15" t="b">
        <v>0</v>
      </c>
    </row>
    <row r="529" ht="15.75" customHeight="1">
      <c r="G529" s="14"/>
      <c r="J529" s="16"/>
      <c r="K529" s="14"/>
      <c r="L529" s="15" t="b">
        <v>0</v>
      </c>
    </row>
    <row r="530" ht="15.75" customHeight="1">
      <c r="G530" s="14"/>
      <c r="J530" s="16"/>
      <c r="K530" s="14"/>
      <c r="L530" s="15" t="b">
        <v>0</v>
      </c>
    </row>
    <row r="531" ht="15.75" customHeight="1">
      <c r="G531" s="14"/>
      <c r="J531" s="16"/>
      <c r="K531" s="14"/>
      <c r="L531" s="15" t="b">
        <v>0</v>
      </c>
    </row>
    <row r="532" ht="15.75" customHeight="1">
      <c r="G532" s="14"/>
      <c r="J532" s="16"/>
      <c r="K532" s="14"/>
      <c r="L532" s="15" t="b">
        <v>0</v>
      </c>
    </row>
    <row r="533" ht="15.75" customHeight="1">
      <c r="G533" s="14"/>
      <c r="J533" s="16"/>
      <c r="K533" s="14"/>
      <c r="L533" s="15" t="b">
        <v>0</v>
      </c>
    </row>
    <row r="534" ht="15.75" customHeight="1">
      <c r="G534" s="14"/>
      <c r="J534" s="16"/>
      <c r="K534" s="14"/>
      <c r="L534" s="15" t="b">
        <v>0</v>
      </c>
    </row>
    <row r="535" ht="15.75" customHeight="1">
      <c r="G535" s="14"/>
      <c r="J535" s="16"/>
      <c r="K535" s="14"/>
      <c r="L535" s="15" t="b">
        <v>0</v>
      </c>
    </row>
    <row r="536" ht="15.75" customHeight="1">
      <c r="G536" s="14"/>
      <c r="J536" s="16"/>
      <c r="K536" s="14"/>
      <c r="L536" s="15" t="b">
        <v>0</v>
      </c>
    </row>
    <row r="537" ht="15.75" customHeight="1">
      <c r="G537" s="14"/>
      <c r="J537" s="16"/>
      <c r="K537" s="14"/>
      <c r="L537" s="15" t="b">
        <v>0</v>
      </c>
    </row>
    <row r="538" ht="15.75" customHeight="1">
      <c r="G538" s="14"/>
      <c r="J538" s="16"/>
      <c r="K538" s="14"/>
      <c r="L538" s="15" t="b">
        <v>0</v>
      </c>
    </row>
    <row r="539" ht="15.75" customHeight="1">
      <c r="G539" s="14"/>
      <c r="J539" s="16"/>
      <c r="K539" s="14"/>
      <c r="L539" s="15" t="b">
        <v>0</v>
      </c>
    </row>
    <row r="540" ht="15.75" customHeight="1">
      <c r="G540" s="14"/>
      <c r="J540" s="16"/>
      <c r="K540" s="14"/>
      <c r="L540" s="15" t="b">
        <v>0</v>
      </c>
    </row>
    <row r="541" ht="15.75" customHeight="1">
      <c r="G541" s="14"/>
      <c r="J541" s="16"/>
      <c r="K541" s="14"/>
      <c r="L541" s="15" t="b">
        <v>0</v>
      </c>
    </row>
    <row r="542" ht="15.75" customHeight="1">
      <c r="G542" s="14"/>
      <c r="J542" s="16"/>
      <c r="K542" s="14"/>
      <c r="L542" s="15" t="b">
        <v>0</v>
      </c>
    </row>
    <row r="543" ht="15.75" customHeight="1">
      <c r="G543" s="14"/>
      <c r="J543" s="16"/>
      <c r="K543" s="14"/>
      <c r="L543" s="15" t="b">
        <v>0</v>
      </c>
    </row>
    <row r="544" ht="15.75" customHeight="1">
      <c r="G544" s="14"/>
      <c r="J544" s="16"/>
      <c r="K544" s="14"/>
      <c r="L544" s="15" t="b">
        <v>0</v>
      </c>
    </row>
    <row r="545" ht="15.75" customHeight="1">
      <c r="G545" s="14"/>
      <c r="J545" s="16"/>
      <c r="K545" s="14"/>
      <c r="L545" s="15" t="b">
        <v>0</v>
      </c>
    </row>
    <row r="546" ht="15.75" customHeight="1">
      <c r="G546" s="14"/>
      <c r="J546" s="16"/>
      <c r="K546" s="14"/>
      <c r="L546" s="15" t="b">
        <v>0</v>
      </c>
    </row>
    <row r="547" ht="15.75" customHeight="1">
      <c r="G547" s="14"/>
      <c r="J547" s="16"/>
      <c r="K547" s="14"/>
      <c r="L547" s="15" t="b">
        <v>0</v>
      </c>
    </row>
    <row r="548" ht="15.75" customHeight="1">
      <c r="G548" s="14"/>
      <c r="J548" s="16"/>
      <c r="K548" s="14"/>
      <c r="L548" s="15" t="b">
        <v>0</v>
      </c>
    </row>
    <row r="549" ht="15.75" customHeight="1">
      <c r="G549" s="14"/>
      <c r="J549" s="16"/>
      <c r="K549" s="14"/>
      <c r="L549" s="15" t="b">
        <v>0</v>
      </c>
    </row>
    <row r="550" ht="15.75" customHeight="1">
      <c r="G550" s="14"/>
      <c r="J550" s="16"/>
      <c r="K550" s="14"/>
      <c r="L550" s="15" t="b">
        <v>0</v>
      </c>
    </row>
    <row r="551" ht="15.75" customHeight="1">
      <c r="G551" s="14"/>
      <c r="J551" s="16"/>
      <c r="K551" s="14"/>
      <c r="L551" s="15" t="b">
        <v>0</v>
      </c>
    </row>
    <row r="552" ht="15.75" customHeight="1">
      <c r="G552" s="14"/>
      <c r="J552" s="16"/>
      <c r="K552" s="14"/>
      <c r="L552" s="15" t="b">
        <v>0</v>
      </c>
    </row>
    <row r="553" ht="15.75" customHeight="1">
      <c r="G553" s="14"/>
      <c r="J553" s="16"/>
      <c r="K553" s="14"/>
      <c r="L553" s="15" t="b">
        <v>0</v>
      </c>
    </row>
    <row r="554" ht="15.75" customHeight="1">
      <c r="G554" s="14"/>
      <c r="J554" s="16"/>
      <c r="K554" s="14"/>
      <c r="L554" s="15" t="b">
        <v>0</v>
      </c>
    </row>
    <row r="555" ht="15.75" customHeight="1">
      <c r="G555" s="14"/>
      <c r="J555" s="16"/>
      <c r="K555" s="14"/>
      <c r="L555" s="15" t="b">
        <v>0</v>
      </c>
    </row>
    <row r="556" ht="15.75" customHeight="1">
      <c r="G556" s="14"/>
      <c r="J556" s="16"/>
      <c r="K556" s="14"/>
      <c r="L556" s="15" t="b">
        <v>0</v>
      </c>
    </row>
    <row r="557" ht="15.75" customHeight="1">
      <c r="G557" s="14"/>
      <c r="J557" s="16"/>
      <c r="K557" s="14"/>
      <c r="L557" s="15" t="b">
        <v>0</v>
      </c>
    </row>
    <row r="558" ht="15.75" customHeight="1">
      <c r="G558" s="14"/>
      <c r="J558" s="16"/>
      <c r="K558" s="14"/>
      <c r="L558" s="15" t="b">
        <v>0</v>
      </c>
    </row>
    <row r="559" ht="15.75" customHeight="1">
      <c r="G559" s="14"/>
      <c r="J559" s="16"/>
      <c r="K559" s="14"/>
      <c r="L559" s="15" t="b">
        <v>0</v>
      </c>
    </row>
    <row r="560" ht="15.75" customHeight="1">
      <c r="G560" s="14"/>
      <c r="J560" s="16"/>
      <c r="K560" s="14"/>
      <c r="L560" s="15" t="b">
        <v>0</v>
      </c>
    </row>
    <row r="561" ht="15.75" customHeight="1">
      <c r="G561" s="14"/>
      <c r="J561" s="16"/>
      <c r="K561" s="14"/>
      <c r="L561" s="15" t="b">
        <v>0</v>
      </c>
    </row>
    <row r="562" ht="15.75" customHeight="1">
      <c r="G562" s="14"/>
      <c r="J562" s="16"/>
      <c r="K562" s="14"/>
      <c r="L562" s="15" t="b">
        <v>0</v>
      </c>
    </row>
    <row r="563" ht="15.75" customHeight="1">
      <c r="G563" s="14"/>
      <c r="J563" s="16"/>
      <c r="K563" s="14"/>
      <c r="L563" s="15" t="b">
        <v>0</v>
      </c>
    </row>
    <row r="564" ht="15.75" customHeight="1">
      <c r="G564" s="14"/>
      <c r="J564" s="16"/>
      <c r="K564" s="14"/>
      <c r="L564" s="15" t="b">
        <v>0</v>
      </c>
    </row>
    <row r="565" ht="15.75" customHeight="1">
      <c r="G565" s="14"/>
      <c r="J565" s="16"/>
      <c r="K565" s="14"/>
      <c r="L565" s="15" t="b">
        <v>0</v>
      </c>
    </row>
    <row r="566" ht="15.75" customHeight="1">
      <c r="G566" s="14"/>
      <c r="J566" s="16"/>
      <c r="K566" s="14"/>
      <c r="L566" s="15" t="b">
        <v>0</v>
      </c>
    </row>
    <row r="567" ht="15.75" customHeight="1">
      <c r="G567" s="14"/>
      <c r="J567" s="16"/>
      <c r="K567" s="14"/>
      <c r="L567" s="15" t="b">
        <v>0</v>
      </c>
    </row>
    <row r="568" ht="15.75" customHeight="1">
      <c r="G568" s="14"/>
      <c r="J568" s="16"/>
      <c r="K568" s="14"/>
      <c r="L568" s="15" t="b">
        <v>0</v>
      </c>
    </row>
    <row r="569" ht="15.75" customHeight="1">
      <c r="G569" s="14"/>
      <c r="J569" s="16"/>
      <c r="K569" s="14"/>
      <c r="L569" s="15" t="b">
        <v>0</v>
      </c>
    </row>
    <row r="570" ht="15.75" customHeight="1">
      <c r="G570" s="14"/>
      <c r="J570" s="16"/>
      <c r="K570" s="14"/>
      <c r="L570" s="15" t="b">
        <v>0</v>
      </c>
    </row>
    <row r="571" ht="15.75" customHeight="1">
      <c r="G571" s="14"/>
      <c r="J571" s="16"/>
      <c r="K571" s="14"/>
      <c r="L571" s="15" t="b">
        <v>0</v>
      </c>
    </row>
    <row r="572" ht="15.75" customHeight="1">
      <c r="G572" s="14"/>
      <c r="J572" s="16"/>
      <c r="K572" s="14"/>
      <c r="L572" s="15" t="b">
        <v>0</v>
      </c>
    </row>
    <row r="573" ht="15.75" customHeight="1">
      <c r="G573" s="14"/>
      <c r="J573" s="16"/>
      <c r="K573" s="14"/>
      <c r="L573" s="15" t="b">
        <v>0</v>
      </c>
    </row>
    <row r="574" ht="15.75" customHeight="1">
      <c r="G574" s="14"/>
      <c r="J574" s="16"/>
      <c r="K574" s="14"/>
      <c r="L574" s="15" t="b">
        <v>0</v>
      </c>
    </row>
    <row r="575" ht="15.75" customHeight="1">
      <c r="G575" s="14"/>
      <c r="J575" s="16"/>
      <c r="K575" s="14"/>
      <c r="L575" s="15" t="b">
        <v>0</v>
      </c>
    </row>
    <row r="576" ht="15.75" customHeight="1">
      <c r="G576" s="14"/>
      <c r="J576" s="16"/>
      <c r="K576" s="14"/>
      <c r="L576" s="15" t="b">
        <v>0</v>
      </c>
    </row>
    <row r="577" ht="15.75" customHeight="1">
      <c r="G577" s="14"/>
      <c r="J577" s="16"/>
      <c r="K577" s="14"/>
      <c r="L577" s="15" t="b">
        <v>0</v>
      </c>
    </row>
    <row r="578" ht="15.75" customHeight="1">
      <c r="G578" s="14"/>
      <c r="J578" s="16"/>
      <c r="K578" s="14"/>
      <c r="L578" s="15" t="b">
        <v>0</v>
      </c>
    </row>
    <row r="579" ht="15.75" customHeight="1">
      <c r="G579" s="14"/>
      <c r="J579" s="16"/>
      <c r="K579" s="14"/>
      <c r="L579" s="15" t="b">
        <v>0</v>
      </c>
    </row>
    <row r="580" ht="15.75" customHeight="1">
      <c r="G580" s="14"/>
      <c r="J580" s="16"/>
      <c r="K580" s="14"/>
      <c r="L580" s="15" t="b">
        <v>0</v>
      </c>
    </row>
    <row r="581" ht="15.75" customHeight="1">
      <c r="G581" s="14"/>
      <c r="J581" s="16"/>
      <c r="K581" s="14"/>
      <c r="L581" s="15" t="b">
        <v>0</v>
      </c>
    </row>
    <row r="582" ht="15.75" customHeight="1">
      <c r="G582" s="14"/>
      <c r="J582" s="16"/>
      <c r="K582" s="14"/>
      <c r="L582" s="15" t="b">
        <v>0</v>
      </c>
    </row>
    <row r="583" ht="15.75" customHeight="1">
      <c r="G583" s="14"/>
      <c r="J583" s="16"/>
      <c r="K583" s="14"/>
      <c r="L583" s="15" t="b">
        <v>0</v>
      </c>
    </row>
    <row r="584" ht="15.75" customHeight="1">
      <c r="G584" s="14"/>
      <c r="J584" s="16"/>
      <c r="K584" s="14"/>
      <c r="L584" s="15" t="b">
        <v>0</v>
      </c>
    </row>
    <row r="585" ht="15.75" customHeight="1">
      <c r="G585" s="14"/>
      <c r="J585" s="16"/>
      <c r="K585" s="14"/>
      <c r="L585" s="15" t="b">
        <v>0</v>
      </c>
    </row>
    <row r="586" ht="15.75" customHeight="1">
      <c r="G586" s="14"/>
      <c r="J586" s="16"/>
      <c r="K586" s="14"/>
      <c r="L586" s="15" t="b">
        <v>0</v>
      </c>
    </row>
    <row r="587" ht="15.75" customHeight="1">
      <c r="G587" s="14"/>
      <c r="J587" s="16"/>
      <c r="K587" s="14"/>
      <c r="L587" s="15" t="b">
        <v>0</v>
      </c>
    </row>
    <row r="588" ht="15.75" customHeight="1">
      <c r="G588" s="14"/>
      <c r="J588" s="16"/>
      <c r="K588" s="14"/>
      <c r="L588" s="15" t="b">
        <v>0</v>
      </c>
    </row>
    <row r="589" ht="15.75" customHeight="1">
      <c r="G589" s="14"/>
      <c r="J589" s="16"/>
      <c r="K589" s="14"/>
      <c r="L589" s="15" t="b">
        <v>0</v>
      </c>
    </row>
    <row r="590" ht="15.75" customHeight="1">
      <c r="G590" s="14"/>
      <c r="J590" s="16"/>
      <c r="K590" s="14"/>
      <c r="L590" s="15" t="b">
        <v>0</v>
      </c>
    </row>
    <row r="591" ht="15.75" customHeight="1">
      <c r="G591" s="14"/>
      <c r="J591" s="16"/>
      <c r="K591" s="14"/>
      <c r="L591" s="15" t="b">
        <v>0</v>
      </c>
    </row>
    <row r="592" ht="15.75" customHeight="1">
      <c r="G592" s="14"/>
      <c r="J592" s="16"/>
      <c r="K592" s="14"/>
      <c r="L592" s="15" t="b">
        <v>0</v>
      </c>
    </row>
    <row r="593" ht="15.75" customHeight="1">
      <c r="G593" s="14"/>
      <c r="J593" s="16"/>
      <c r="K593" s="14"/>
      <c r="L593" s="15" t="b">
        <v>0</v>
      </c>
    </row>
    <row r="594" ht="15.75" customHeight="1">
      <c r="G594" s="14"/>
      <c r="J594" s="16"/>
      <c r="K594" s="14"/>
      <c r="L594" s="15" t="b">
        <v>0</v>
      </c>
    </row>
    <row r="595" ht="15.75" customHeight="1">
      <c r="G595" s="14"/>
      <c r="J595" s="16"/>
      <c r="K595" s="14"/>
      <c r="L595" s="15" t="b">
        <v>0</v>
      </c>
    </row>
    <row r="596" ht="15.75" customHeight="1">
      <c r="G596" s="14"/>
      <c r="J596" s="16"/>
      <c r="K596" s="14"/>
      <c r="L596" s="15" t="b">
        <v>0</v>
      </c>
    </row>
    <row r="597" ht="15.75" customHeight="1">
      <c r="G597" s="14"/>
      <c r="J597" s="16"/>
      <c r="K597" s="14"/>
      <c r="L597" s="15" t="b">
        <v>0</v>
      </c>
    </row>
    <row r="598" ht="15.75" customHeight="1">
      <c r="G598" s="14"/>
      <c r="J598" s="16"/>
      <c r="K598" s="14"/>
      <c r="L598" s="15" t="b">
        <v>0</v>
      </c>
    </row>
    <row r="599" ht="15.75" customHeight="1">
      <c r="G599" s="14"/>
      <c r="J599" s="16"/>
      <c r="K599" s="14"/>
      <c r="L599" s="15" t="b">
        <v>0</v>
      </c>
    </row>
    <row r="600" ht="15.75" customHeight="1">
      <c r="G600" s="14"/>
      <c r="J600" s="16"/>
      <c r="K600" s="14"/>
      <c r="L600" s="15" t="b">
        <v>0</v>
      </c>
    </row>
    <row r="601" ht="15.75" customHeight="1">
      <c r="G601" s="14"/>
      <c r="J601" s="16"/>
      <c r="K601" s="14"/>
      <c r="L601" s="15" t="b">
        <v>0</v>
      </c>
    </row>
    <row r="602" ht="15.75" customHeight="1">
      <c r="G602" s="14"/>
      <c r="J602" s="16"/>
      <c r="K602" s="14"/>
      <c r="L602" s="15" t="b">
        <v>0</v>
      </c>
    </row>
    <row r="603" ht="15.75" customHeight="1">
      <c r="G603" s="14"/>
      <c r="J603" s="16"/>
      <c r="K603" s="14"/>
      <c r="L603" s="15" t="b">
        <v>0</v>
      </c>
    </row>
    <row r="604" ht="15.75" customHeight="1">
      <c r="G604" s="14"/>
      <c r="J604" s="16"/>
      <c r="K604" s="14"/>
      <c r="L604" s="15" t="b">
        <v>0</v>
      </c>
    </row>
    <row r="605" ht="15.75" customHeight="1">
      <c r="G605" s="14"/>
      <c r="J605" s="16"/>
      <c r="K605" s="14"/>
      <c r="L605" s="15" t="b">
        <v>0</v>
      </c>
    </row>
    <row r="606" ht="15.75" customHeight="1">
      <c r="G606" s="14"/>
      <c r="J606" s="16"/>
      <c r="K606" s="14"/>
      <c r="L606" s="15" t="b">
        <v>0</v>
      </c>
    </row>
    <row r="607" ht="15.75" customHeight="1">
      <c r="G607" s="14"/>
      <c r="J607" s="16"/>
      <c r="K607" s="14"/>
      <c r="L607" s="15" t="b">
        <v>0</v>
      </c>
    </row>
    <row r="608" ht="15.75" customHeight="1">
      <c r="G608" s="14"/>
      <c r="J608" s="16"/>
      <c r="K608" s="14"/>
      <c r="L608" s="15" t="b">
        <v>0</v>
      </c>
    </row>
    <row r="609" ht="15.75" customHeight="1">
      <c r="G609" s="14"/>
      <c r="J609" s="16"/>
      <c r="K609" s="14"/>
      <c r="L609" s="15" t="b">
        <v>0</v>
      </c>
    </row>
    <row r="610" ht="15.75" customHeight="1">
      <c r="G610" s="14"/>
      <c r="J610" s="16"/>
      <c r="K610" s="14"/>
      <c r="L610" s="15" t="b">
        <v>0</v>
      </c>
    </row>
    <row r="611" ht="15.75" customHeight="1">
      <c r="G611" s="14"/>
      <c r="J611" s="16"/>
      <c r="K611" s="14"/>
      <c r="L611" s="15" t="b">
        <v>0</v>
      </c>
    </row>
    <row r="612" ht="15.75" customHeight="1">
      <c r="G612" s="14"/>
      <c r="J612" s="16"/>
      <c r="K612" s="14"/>
      <c r="L612" s="15" t="b">
        <v>0</v>
      </c>
    </row>
    <row r="613" ht="15.75" customHeight="1">
      <c r="G613" s="14"/>
      <c r="J613" s="16"/>
      <c r="K613" s="14"/>
      <c r="L613" s="15" t="b">
        <v>0</v>
      </c>
    </row>
    <row r="614" ht="15.75" customHeight="1">
      <c r="G614" s="14"/>
      <c r="J614" s="16"/>
      <c r="K614" s="14"/>
      <c r="L614" s="15" t="b">
        <v>0</v>
      </c>
    </row>
    <row r="615" ht="15.75" customHeight="1">
      <c r="G615" s="14"/>
      <c r="J615" s="16"/>
      <c r="K615" s="14"/>
      <c r="L615" s="15" t="b">
        <v>0</v>
      </c>
    </row>
    <row r="616" ht="15.75" customHeight="1">
      <c r="G616" s="14"/>
      <c r="J616" s="16"/>
      <c r="K616" s="14"/>
      <c r="L616" s="15" t="b">
        <v>0</v>
      </c>
    </row>
    <row r="617" ht="15.75" customHeight="1">
      <c r="G617" s="14"/>
      <c r="J617" s="16"/>
      <c r="K617" s="14"/>
      <c r="L617" s="15" t="b">
        <v>0</v>
      </c>
    </row>
    <row r="618" ht="15.75" customHeight="1">
      <c r="G618" s="14"/>
      <c r="J618" s="16"/>
      <c r="K618" s="14"/>
      <c r="L618" s="15" t="b">
        <v>0</v>
      </c>
    </row>
    <row r="619" ht="15.75" customHeight="1">
      <c r="G619" s="14"/>
      <c r="J619" s="16"/>
      <c r="K619" s="14"/>
      <c r="L619" s="15" t="b">
        <v>0</v>
      </c>
    </row>
    <row r="620" ht="15.75" customHeight="1">
      <c r="G620" s="14"/>
      <c r="J620" s="16"/>
      <c r="K620" s="14"/>
      <c r="L620" s="15" t="b">
        <v>0</v>
      </c>
    </row>
    <row r="621" ht="15.75" customHeight="1">
      <c r="G621" s="14"/>
      <c r="J621" s="16"/>
      <c r="K621" s="14"/>
      <c r="L621" s="15" t="b">
        <v>0</v>
      </c>
    </row>
    <row r="622" ht="15.75" customHeight="1">
      <c r="G622" s="14"/>
      <c r="J622" s="16"/>
      <c r="K622" s="14"/>
      <c r="L622" s="15" t="b">
        <v>0</v>
      </c>
    </row>
    <row r="623" ht="15.75" customHeight="1">
      <c r="G623" s="14"/>
      <c r="J623" s="16"/>
      <c r="K623" s="14"/>
      <c r="L623" s="15" t="b">
        <v>0</v>
      </c>
    </row>
    <row r="624" ht="15.75" customHeight="1">
      <c r="G624" s="14"/>
      <c r="J624" s="16"/>
      <c r="K624" s="14"/>
      <c r="L624" s="15" t="b">
        <v>0</v>
      </c>
    </row>
    <row r="625" ht="15.75" customHeight="1">
      <c r="G625" s="14"/>
      <c r="J625" s="16"/>
      <c r="K625" s="14"/>
      <c r="L625" s="15" t="b">
        <v>0</v>
      </c>
    </row>
    <row r="626" ht="15.75" customHeight="1">
      <c r="G626" s="14"/>
      <c r="J626" s="16"/>
      <c r="K626" s="14"/>
      <c r="L626" s="15" t="b">
        <v>0</v>
      </c>
    </row>
    <row r="627" ht="15.75" customHeight="1">
      <c r="G627" s="14"/>
      <c r="J627" s="16"/>
      <c r="K627" s="14"/>
      <c r="L627" s="15" t="b">
        <v>0</v>
      </c>
    </row>
    <row r="628" ht="15.75" customHeight="1">
      <c r="G628" s="14"/>
      <c r="J628" s="16"/>
      <c r="K628" s="14"/>
      <c r="L628" s="15" t="b">
        <v>0</v>
      </c>
    </row>
    <row r="629" ht="15.75" customHeight="1">
      <c r="G629" s="14"/>
      <c r="J629" s="16"/>
      <c r="K629" s="14"/>
      <c r="L629" s="15" t="b">
        <v>0</v>
      </c>
    </row>
    <row r="630" ht="15.75" customHeight="1">
      <c r="G630" s="14"/>
      <c r="J630" s="16"/>
      <c r="K630" s="14"/>
      <c r="L630" s="15" t="b">
        <v>0</v>
      </c>
    </row>
    <row r="631" ht="15.75" customHeight="1">
      <c r="G631" s="14"/>
      <c r="J631" s="16"/>
      <c r="K631" s="14"/>
      <c r="L631" s="15" t="b">
        <v>0</v>
      </c>
    </row>
    <row r="632" ht="15.75" customHeight="1">
      <c r="G632" s="14"/>
      <c r="J632" s="16"/>
      <c r="K632" s="14"/>
      <c r="L632" s="15" t="b">
        <v>0</v>
      </c>
    </row>
    <row r="633" ht="15.75" customHeight="1">
      <c r="G633" s="14"/>
      <c r="J633" s="16"/>
      <c r="K633" s="14"/>
      <c r="L633" s="15" t="b">
        <v>0</v>
      </c>
    </row>
    <row r="634" ht="15.75" customHeight="1">
      <c r="G634" s="14"/>
      <c r="J634" s="16"/>
      <c r="K634" s="14"/>
      <c r="L634" s="15" t="b">
        <v>0</v>
      </c>
    </row>
    <row r="635" ht="15.75" customHeight="1">
      <c r="G635" s="14"/>
      <c r="J635" s="16"/>
      <c r="K635" s="14"/>
      <c r="L635" s="15" t="b">
        <v>0</v>
      </c>
    </row>
    <row r="636" ht="15.75" customHeight="1">
      <c r="G636" s="14"/>
      <c r="J636" s="16"/>
      <c r="K636" s="14"/>
      <c r="L636" s="15" t="b">
        <v>0</v>
      </c>
    </row>
    <row r="637" ht="15.75" customHeight="1">
      <c r="G637" s="14"/>
      <c r="J637" s="16"/>
      <c r="K637" s="14"/>
      <c r="L637" s="15" t="b">
        <v>0</v>
      </c>
    </row>
    <row r="638" ht="15.75" customHeight="1">
      <c r="G638" s="14"/>
      <c r="J638" s="16"/>
      <c r="K638" s="14"/>
      <c r="L638" s="15" t="b">
        <v>0</v>
      </c>
    </row>
    <row r="639" ht="15.75" customHeight="1">
      <c r="G639" s="14"/>
      <c r="J639" s="16"/>
      <c r="K639" s="14"/>
      <c r="L639" s="15" t="b">
        <v>0</v>
      </c>
    </row>
    <row r="640" ht="15.75" customHeight="1">
      <c r="G640" s="14"/>
      <c r="J640" s="16"/>
      <c r="K640" s="14"/>
      <c r="L640" s="15" t="b">
        <v>0</v>
      </c>
    </row>
    <row r="641" ht="15.75" customHeight="1">
      <c r="G641" s="14"/>
      <c r="J641" s="16"/>
      <c r="K641" s="14"/>
      <c r="L641" s="15" t="b">
        <v>0</v>
      </c>
    </row>
    <row r="642" ht="15.75" customHeight="1">
      <c r="G642" s="14"/>
      <c r="J642" s="16"/>
      <c r="K642" s="14"/>
      <c r="L642" s="15" t="b">
        <v>0</v>
      </c>
    </row>
    <row r="643" ht="15.75" customHeight="1">
      <c r="G643" s="14"/>
      <c r="J643" s="16"/>
      <c r="K643" s="14"/>
      <c r="L643" s="15" t="b">
        <v>0</v>
      </c>
    </row>
    <row r="644" ht="15.75" customHeight="1">
      <c r="G644" s="14"/>
      <c r="J644" s="16"/>
      <c r="K644" s="14"/>
      <c r="L644" s="15" t="b">
        <v>0</v>
      </c>
    </row>
    <row r="645" ht="15.75" customHeight="1">
      <c r="G645" s="14"/>
      <c r="J645" s="16"/>
      <c r="K645" s="14"/>
      <c r="L645" s="15" t="b">
        <v>0</v>
      </c>
    </row>
    <row r="646" ht="15.75" customHeight="1">
      <c r="G646" s="14"/>
      <c r="J646" s="16"/>
      <c r="K646" s="14"/>
      <c r="L646" s="15" t="b">
        <v>0</v>
      </c>
    </row>
    <row r="647" ht="15.75" customHeight="1">
      <c r="G647" s="14"/>
      <c r="J647" s="16"/>
      <c r="K647" s="14"/>
      <c r="L647" s="15" t="b">
        <v>0</v>
      </c>
    </row>
    <row r="648" ht="15.75" customHeight="1">
      <c r="G648" s="14"/>
      <c r="J648" s="16"/>
      <c r="K648" s="14"/>
      <c r="L648" s="15" t="b">
        <v>0</v>
      </c>
    </row>
    <row r="649" ht="15.75" customHeight="1">
      <c r="G649" s="14"/>
      <c r="J649" s="16"/>
      <c r="K649" s="14"/>
      <c r="L649" s="15" t="b">
        <v>0</v>
      </c>
    </row>
    <row r="650" ht="15.75" customHeight="1">
      <c r="G650" s="14"/>
      <c r="J650" s="16"/>
      <c r="K650" s="14"/>
      <c r="L650" s="15" t="b">
        <v>0</v>
      </c>
    </row>
    <row r="651" ht="15.75" customHeight="1">
      <c r="G651" s="14"/>
      <c r="J651" s="16"/>
      <c r="K651" s="14"/>
      <c r="L651" s="15" t="b">
        <v>0</v>
      </c>
    </row>
    <row r="652" ht="15.75" customHeight="1">
      <c r="G652" s="14"/>
      <c r="J652" s="16"/>
      <c r="K652" s="14"/>
      <c r="L652" s="15" t="b">
        <v>0</v>
      </c>
    </row>
    <row r="653" ht="15.75" customHeight="1">
      <c r="G653" s="14"/>
      <c r="J653" s="16"/>
      <c r="K653" s="14"/>
      <c r="L653" s="15" t="b">
        <v>0</v>
      </c>
    </row>
    <row r="654" ht="15.75" customHeight="1">
      <c r="G654" s="14"/>
      <c r="J654" s="16"/>
      <c r="K654" s="14"/>
      <c r="L654" s="15" t="b">
        <v>0</v>
      </c>
    </row>
    <row r="655" ht="15.75" customHeight="1">
      <c r="G655" s="14"/>
      <c r="J655" s="16"/>
      <c r="K655" s="14"/>
      <c r="L655" s="15" t="b">
        <v>0</v>
      </c>
    </row>
    <row r="656" ht="15.75" customHeight="1">
      <c r="G656" s="14"/>
      <c r="J656" s="16"/>
      <c r="K656" s="14"/>
      <c r="L656" s="15" t="b">
        <v>0</v>
      </c>
    </row>
    <row r="657" ht="15.75" customHeight="1">
      <c r="G657" s="14"/>
      <c r="J657" s="16"/>
      <c r="K657" s="14"/>
      <c r="L657" s="15" t="b">
        <v>0</v>
      </c>
    </row>
    <row r="658" ht="15.75" customHeight="1">
      <c r="G658" s="14"/>
      <c r="J658" s="16"/>
      <c r="K658" s="14"/>
      <c r="L658" s="15" t="b">
        <v>0</v>
      </c>
    </row>
    <row r="659" ht="15.75" customHeight="1">
      <c r="G659" s="14"/>
      <c r="J659" s="16"/>
      <c r="K659" s="14"/>
      <c r="L659" s="15" t="b">
        <v>0</v>
      </c>
    </row>
    <row r="660" ht="15.75" customHeight="1">
      <c r="G660" s="14"/>
      <c r="J660" s="16"/>
      <c r="K660" s="14"/>
      <c r="L660" s="15" t="b">
        <v>0</v>
      </c>
    </row>
    <row r="661" ht="15.75" customHeight="1">
      <c r="G661" s="14"/>
      <c r="J661" s="16"/>
      <c r="K661" s="14"/>
      <c r="L661" s="15" t="b">
        <v>0</v>
      </c>
    </row>
    <row r="662" ht="15.75" customHeight="1">
      <c r="G662" s="14"/>
      <c r="J662" s="16"/>
      <c r="K662" s="14"/>
      <c r="L662" s="15" t="b">
        <v>0</v>
      </c>
    </row>
    <row r="663" ht="15.75" customHeight="1">
      <c r="G663" s="14"/>
      <c r="J663" s="16"/>
      <c r="K663" s="14"/>
      <c r="L663" s="15" t="b">
        <v>0</v>
      </c>
    </row>
    <row r="664" ht="15.75" customHeight="1">
      <c r="G664" s="14"/>
      <c r="J664" s="16"/>
      <c r="K664" s="14"/>
      <c r="L664" s="15" t="b">
        <v>0</v>
      </c>
    </row>
    <row r="665" ht="15.75" customHeight="1">
      <c r="G665" s="14"/>
      <c r="J665" s="16"/>
      <c r="K665" s="14"/>
      <c r="L665" s="15" t="b">
        <v>0</v>
      </c>
    </row>
    <row r="666" ht="15.75" customHeight="1">
      <c r="G666" s="14"/>
      <c r="J666" s="16"/>
      <c r="K666" s="14"/>
      <c r="L666" s="15" t="b">
        <v>0</v>
      </c>
    </row>
    <row r="667" ht="15.75" customHeight="1">
      <c r="G667" s="14"/>
      <c r="J667" s="16"/>
      <c r="K667" s="14"/>
      <c r="L667" s="15" t="b">
        <v>0</v>
      </c>
    </row>
    <row r="668" ht="15.75" customHeight="1">
      <c r="G668" s="14"/>
      <c r="J668" s="16"/>
      <c r="K668" s="14"/>
      <c r="L668" s="15" t="b">
        <v>0</v>
      </c>
    </row>
    <row r="669" ht="15.75" customHeight="1">
      <c r="G669" s="14"/>
      <c r="J669" s="16"/>
      <c r="K669" s="14"/>
      <c r="L669" s="15" t="b">
        <v>0</v>
      </c>
    </row>
    <row r="670" ht="15.75" customHeight="1">
      <c r="G670" s="14"/>
      <c r="J670" s="16"/>
      <c r="K670" s="14"/>
      <c r="L670" s="15" t="b">
        <v>0</v>
      </c>
    </row>
    <row r="671" ht="15.75" customHeight="1">
      <c r="G671" s="14"/>
      <c r="J671" s="16"/>
      <c r="K671" s="14"/>
      <c r="L671" s="15" t="b">
        <v>0</v>
      </c>
    </row>
    <row r="672" ht="15.75" customHeight="1">
      <c r="G672" s="14"/>
      <c r="J672" s="16"/>
      <c r="K672" s="14"/>
      <c r="L672" s="15" t="b">
        <v>0</v>
      </c>
    </row>
    <row r="673" ht="15.75" customHeight="1">
      <c r="G673" s="14"/>
      <c r="J673" s="16"/>
      <c r="K673" s="14"/>
      <c r="L673" s="15" t="b">
        <v>0</v>
      </c>
    </row>
    <row r="674" ht="15.75" customHeight="1">
      <c r="G674" s="14"/>
      <c r="J674" s="16"/>
      <c r="K674" s="14"/>
      <c r="L674" s="15" t="b">
        <v>0</v>
      </c>
    </row>
    <row r="675" ht="15.75" customHeight="1">
      <c r="G675" s="14"/>
      <c r="J675" s="16"/>
      <c r="K675" s="14"/>
      <c r="L675" s="15" t="b">
        <v>0</v>
      </c>
    </row>
    <row r="676" ht="15.75" customHeight="1">
      <c r="G676" s="14"/>
      <c r="J676" s="16"/>
      <c r="K676" s="14"/>
      <c r="L676" s="15" t="b">
        <v>0</v>
      </c>
    </row>
    <row r="677" ht="15.75" customHeight="1">
      <c r="G677" s="14"/>
      <c r="J677" s="16"/>
      <c r="K677" s="14"/>
      <c r="L677" s="15" t="b">
        <v>0</v>
      </c>
    </row>
    <row r="678" ht="15.75" customHeight="1">
      <c r="G678" s="14"/>
      <c r="J678" s="16"/>
      <c r="K678" s="14"/>
      <c r="L678" s="15" t="b">
        <v>0</v>
      </c>
    </row>
    <row r="679" ht="15.75" customHeight="1">
      <c r="G679" s="14"/>
      <c r="J679" s="16"/>
      <c r="K679" s="14"/>
      <c r="L679" s="15" t="b">
        <v>0</v>
      </c>
    </row>
    <row r="680" ht="15.75" customHeight="1">
      <c r="G680" s="14"/>
      <c r="J680" s="16"/>
      <c r="K680" s="14"/>
      <c r="L680" s="15" t="b">
        <v>0</v>
      </c>
    </row>
    <row r="681" ht="15.75" customHeight="1">
      <c r="G681" s="14"/>
      <c r="J681" s="16"/>
      <c r="K681" s="14"/>
      <c r="L681" s="15" t="b">
        <v>0</v>
      </c>
    </row>
    <row r="682" ht="15.75" customHeight="1">
      <c r="G682" s="14"/>
      <c r="J682" s="16"/>
      <c r="K682" s="14"/>
      <c r="L682" s="15" t="b">
        <v>0</v>
      </c>
    </row>
    <row r="683" ht="15.75" customHeight="1">
      <c r="G683" s="14"/>
      <c r="J683" s="16"/>
      <c r="K683" s="14"/>
      <c r="L683" s="15" t="b">
        <v>0</v>
      </c>
    </row>
    <row r="684" ht="15.75" customHeight="1">
      <c r="G684" s="14"/>
      <c r="J684" s="16"/>
      <c r="K684" s="14"/>
      <c r="L684" s="15" t="b">
        <v>0</v>
      </c>
    </row>
    <row r="685" ht="15.75" customHeight="1">
      <c r="G685" s="14"/>
      <c r="J685" s="16"/>
      <c r="K685" s="14"/>
      <c r="L685" s="15" t="b">
        <v>0</v>
      </c>
    </row>
    <row r="686" ht="15.75" customHeight="1">
      <c r="G686" s="14"/>
      <c r="J686" s="16"/>
      <c r="K686" s="14"/>
      <c r="L686" s="15" t="b">
        <v>0</v>
      </c>
    </row>
    <row r="687" ht="15.75" customHeight="1">
      <c r="G687" s="14"/>
      <c r="J687" s="16"/>
      <c r="K687" s="14"/>
      <c r="L687" s="15" t="b">
        <v>0</v>
      </c>
    </row>
    <row r="688" ht="15.75" customHeight="1">
      <c r="G688" s="14"/>
      <c r="J688" s="16"/>
      <c r="K688" s="14"/>
      <c r="L688" s="15" t="b">
        <v>0</v>
      </c>
    </row>
    <row r="689" ht="15.75" customHeight="1">
      <c r="G689" s="14"/>
      <c r="J689" s="16"/>
      <c r="K689" s="14"/>
      <c r="L689" s="15" t="b">
        <v>0</v>
      </c>
    </row>
    <row r="690" ht="15.75" customHeight="1">
      <c r="G690" s="14"/>
      <c r="J690" s="16"/>
      <c r="K690" s="14"/>
      <c r="L690" s="15" t="b">
        <v>0</v>
      </c>
    </row>
    <row r="691" ht="15.75" customHeight="1">
      <c r="G691" s="14"/>
      <c r="J691" s="16"/>
      <c r="K691" s="14"/>
      <c r="L691" s="15" t="b">
        <v>0</v>
      </c>
    </row>
    <row r="692" ht="15.75" customHeight="1">
      <c r="G692" s="14"/>
      <c r="J692" s="16"/>
      <c r="K692" s="14"/>
      <c r="L692" s="15" t="b">
        <v>0</v>
      </c>
    </row>
    <row r="693" ht="15.75" customHeight="1">
      <c r="G693" s="14"/>
      <c r="J693" s="16"/>
      <c r="K693" s="14"/>
      <c r="L693" s="15" t="b">
        <v>0</v>
      </c>
    </row>
    <row r="694" ht="15.75" customHeight="1">
      <c r="G694" s="14"/>
      <c r="J694" s="16"/>
      <c r="K694" s="14"/>
      <c r="L694" s="15" t="b">
        <v>0</v>
      </c>
    </row>
    <row r="695" ht="15.75" customHeight="1">
      <c r="G695" s="14"/>
      <c r="J695" s="16"/>
      <c r="K695" s="14"/>
      <c r="L695" s="15" t="b">
        <v>0</v>
      </c>
    </row>
    <row r="696" ht="15.75" customHeight="1">
      <c r="G696" s="14"/>
      <c r="J696" s="16"/>
      <c r="K696" s="14"/>
      <c r="L696" s="15" t="b">
        <v>0</v>
      </c>
    </row>
    <row r="697" ht="15.75" customHeight="1">
      <c r="G697" s="14"/>
      <c r="J697" s="16"/>
      <c r="K697" s="14"/>
      <c r="L697" s="15" t="b">
        <v>0</v>
      </c>
    </row>
    <row r="698" ht="15.75" customHeight="1">
      <c r="G698" s="14"/>
      <c r="J698" s="16"/>
      <c r="K698" s="14"/>
      <c r="L698" s="15" t="b">
        <v>0</v>
      </c>
    </row>
    <row r="699" ht="15.75" customHeight="1">
      <c r="G699" s="14"/>
      <c r="J699" s="16"/>
      <c r="K699" s="14"/>
      <c r="L699" s="15" t="b">
        <v>0</v>
      </c>
    </row>
    <row r="700" ht="15.75" customHeight="1">
      <c r="G700" s="14"/>
      <c r="J700" s="16"/>
      <c r="K700" s="14"/>
      <c r="L700" s="15" t="b">
        <v>0</v>
      </c>
    </row>
    <row r="701" ht="15.75" customHeight="1">
      <c r="G701" s="14"/>
      <c r="J701" s="16"/>
      <c r="K701" s="14"/>
      <c r="L701" s="15" t="b">
        <v>0</v>
      </c>
    </row>
    <row r="702" ht="15.75" customHeight="1">
      <c r="G702" s="14"/>
      <c r="J702" s="16"/>
      <c r="K702" s="14"/>
      <c r="L702" s="15" t="b">
        <v>0</v>
      </c>
    </row>
    <row r="703" ht="15.75" customHeight="1">
      <c r="G703" s="14"/>
      <c r="J703" s="16"/>
      <c r="K703" s="14"/>
      <c r="L703" s="15" t="b">
        <v>0</v>
      </c>
    </row>
    <row r="704" ht="15.75" customHeight="1">
      <c r="G704" s="14"/>
      <c r="J704" s="16"/>
      <c r="K704" s="14"/>
      <c r="L704" s="15" t="b">
        <v>0</v>
      </c>
    </row>
    <row r="705" ht="15.75" customHeight="1">
      <c r="G705" s="14"/>
      <c r="J705" s="16"/>
      <c r="K705" s="14"/>
      <c r="L705" s="15" t="b">
        <v>0</v>
      </c>
    </row>
    <row r="706" ht="15.75" customHeight="1">
      <c r="G706" s="14"/>
      <c r="J706" s="16"/>
      <c r="K706" s="14"/>
      <c r="L706" s="15" t="b">
        <v>0</v>
      </c>
    </row>
    <row r="707" ht="15.75" customHeight="1">
      <c r="G707" s="14"/>
      <c r="J707" s="16"/>
      <c r="K707" s="14"/>
      <c r="L707" s="15" t="b">
        <v>0</v>
      </c>
    </row>
    <row r="708" ht="15.75" customHeight="1">
      <c r="G708" s="14"/>
      <c r="J708" s="16"/>
      <c r="K708" s="14"/>
      <c r="L708" s="15" t="b">
        <v>0</v>
      </c>
    </row>
    <row r="709" ht="15.75" customHeight="1">
      <c r="G709" s="14"/>
      <c r="J709" s="16"/>
      <c r="K709" s="14"/>
      <c r="L709" s="15" t="b">
        <v>0</v>
      </c>
    </row>
    <row r="710" ht="15.75" customHeight="1">
      <c r="G710" s="14"/>
      <c r="J710" s="16"/>
      <c r="K710" s="14"/>
      <c r="L710" s="15" t="b">
        <v>0</v>
      </c>
    </row>
    <row r="711" ht="15.75" customHeight="1">
      <c r="G711" s="14"/>
      <c r="J711" s="16"/>
      <c r="K711" s="14"/>
      <c r="L711" s="15" t="b">
        <v>0</v>
      </c>
    </row>
    <row r="712" ht="15.75" customHeight="1">
      <c r="G712" s="14"/>
      <c r="J712" s="16"/>
      <c r="K712" s="14"/>
      <c r="L712" s="15" t="b">
        <v>0</v>
      </c>
    </row>
    <row r="713" ht="15.75" customHeight="1">
      <c r="G713" s="14"/>
      <c r="J713" s="16"/>
      <c r="K713" s="14"/>
      <c r="L713" s="15" t="b">
        <v>0</v>
      </c>
    </row>
    <row r="714" ht="15.75" customHeight="1">
      <c r="G714" s="14"/>
      <c r="J714" s="16"/>
      <c r="K714" s="14"/>
      <c r="L714" s="15" t="b">
        <v>0</v>
      </c>
    </row>
    <row r="715" ht="15.75" customHeight="1">
      <c r="G715" s="14"/>
      <c r="J715" s="16"/>
      <c r="K715" s="14"/>
      <c r="L715" s="15" t="b">
        <v>0</v>
      </c>
    </row>
    <row r="716" ht="15.75" customHeight="1">
      <c r="G716" s="14"/>
      <c r="J716" s="16"/>
      <c r="K716" s="14"/>
      <c r="L716" s="15" t="b">
        <v>0</v>
      </c>
    </row>
    <row r="717" ht="15.75" customHeight="1">
      <c r="G717" s="14"/>
      <c r="J717" s="16"/>
      <c r="K717" s="14"/>
      <c r="L717" s="15" t="b">
        <v>0</v>
      </c>
    </row>
    <row r="718" ht="15.75" customHeight="1">
      <c r="G718" s="14"/>
      <c r="J718" s="16"/>
      <c r="K718" s="14"/>
      <c r="L718" s="15" t="b">
        <v>0</v>
      </c>
    </row>
    <row r="719" ht="15.75" customHeight="1">
      <c r="G719" s="14"/>
      <c r="J719" s="16"/>
      <c r="K719" s="14"/>
      <c r="L719" s="15" t="b">
        <v>0</v>
      </c>
    </row>
    <row r="720" ht="15.75" customHeight="1">
      <c r="G720" s="14"/>
      <c r="J720" s="16"/>
      <c r="K720" s="14"/>
      <c r="L720" s="15" t="b">
        <v>0</v>
      </c>
    </row>
    <row r="721" ht="15.75" customHeight="1">
      <c r="G721" s="14"/>
      <c r="J721" s="16"/>
      <c r="K721" s="14"/>
      <c r="L721" s="15" t="b">
        <v>0</v>
      </c>
    </row>
    <row r="722" ht="15.75" customHeight="1">
      <c r="G722" s="14"/>
      <c r="J722" s="16"/>
      <c r="K722" s="14"/>
      <c r="L722" s="15" t="b">
        <v>0</v>
      </c>
    </row>
    <row r="723" ht="15.75" customHeight="1">
      <c r="G723" s="14"/>
      <c r="J723" s="16"/>
      <c r="K723" s="14"/>
      <c r="L723" s="15" t="b">
        <v>0</v>
      </c>
    </row>
    <row r="724" ht="15.75" customHeight="1">
      <c r="G724" s="14"/>
      <c r="J724" s="16"/>
      <c r="K724" s="14"/>
      <c r="L724" s="15" t="b">
        <v>0</v>
      </c>
    </row>
    <row r="725" ht="15.75" customHeight="1">
      <c r="G725" s="14"/>
      <c r="J725" s="16"/>
      <c r="K725" s="14"/>
      <c r="L725" s="15" t="b">
        <v>0</v>
      </c>
    </row>
    <row r="726" ht="15.75" customHeight="1">
      <c r="G726" s="14"/>
      <c r="J726" s="16"/>
      <c r="K726" s="14"/>
      <c r="L726" s="15" t="b">
        <v>0</v>
      </c>
    </row>
    <row r="727" ht="15.75" customHeight="1">
      <c r="G727" s="14"/>
      <c r="J727" s="16"/>
      <c r="K727" s="14"/>
      <c r="L727" s="15" t="b">
        <v>0</v>
      </c>
    </row>
    <row r="728" ht="15.75" customHeight="1">
      <c r="G728" s="14"/>
      <c r="J728" s="16"/>
      <c r="K728" s="14"/>
      <c r="L728" s="15" t="b">
        <v>0</v>
      </c>
    </row>
    <row r="729" ht="15.75" customHeight="1">
      <c r="G729" s="14"/>
      <c r="J729" s="16"/>
      <c r="K729" s="14"/>
      <c r="L729" s="15" t="b">
        <v>0</v>
      </c>
    </row>
    <row r="730" ht="15.75" customHeight="1">
      <c r="G730" s="14"/>
      <c r="J730" s="16"/>
      <c r="K730" s="14"/>
      <c r="L730" s="15" t="b">
        <v>0</v>
      </c>
    </row>
    <row r="731" ht="15.75" customHeight="1">
      <c r="G731" s="14"/>
      <c r="J731" s="16"/>
      <c r="K731" s="14"/>
      <c r="L731" s="15" t="b">
        <v>0</v>
      </c>
    </row>
    <row r="732" ht="15.75" customHeight="1">
      <c r="G732" s="14"/>
      <c r="J732" s="16"/>
      <c r="K732" s="14"/>
      <c r="L732" s="15" t="b">
        <v>0</v>
      </c>
    </row>
    <row r="733" ht="15.75" customHeight="1">
      <c r="G733" s="14"/>
      <c r="J733" s="16"/>
      <c r="K733" s="14"/>
      <c r="L733" s="15" t="b">
        <v>0</v>
      </c>
    </row>
    <row r="734" ht="15.75" customHeight="1">
      <c r="G734" s="14"/>
      <c r="J734" s="16"/>
      <c r="K734" s="14"/>
      <c r="L734" s="15" t="b">
        <v>0</v>
      </c>
    </row>
    <row r="735" ht="15.75" customHeight="1">
      <c r="G735" s="14"/>
      <c r="J735" s="16"/>
      <c r="K735" s="14"/>
      <c r="L735" s="15" t="b">
        <v>0</v>
      </c>
    </row>
    <row r="736" ht="15.75" customHeight="1">
      <c r="G736" s="14"/>
      <c r="J736" s="16"/>
      <c r="K736" s="14"/>
      <c r="L736" s="15" t="b">
        <v>0</v>
      </c>
    </row>
    <row r="737" ht="15.75" customHeight="1">
      <c r="G737" s="14"/>
      <c r="J737" s="16"/>
      <c r="K737" s="14"/>
      <c r="L737" s="15" t="b">
        <v>0</v>
      </c>
    </row>
    <row r="738" ht="15.75" customHeight="1">
      <c r="G738" s="14"/>
      <c r="J738" s="16"/>
      <c r="K738" s="14"/>
      <c r="L738" s="15" t="b">
        <v>0</v>
      </c>
    </row>
    <row r="739" ht="15.75" customHeight="1">
      <c r="G739" s="14"/>
      <c r="J739" s="16"/>
      <c r="K739" s="14"/>
      <c r="L739" s="15" t="b">
        <v>0</v>
      </c>
    </row>
    <row r="740" ht="15.75" customHeight="1">
      <c r="G740" s="14"/>
      <c r="J740" s="16"/>
      <c r="K740" s="14"/>
      <c r="L740" s="15" t="b">
        <v>0</v>
      </c>
    </row>
    <row r="741" ht="15.75" customHeight="1">
      <c r="G741" s="14"/>
      <c r="J741" s="16"/>
      <c r="K741" s="14"/>
      <c r="L741" s="15" t="b">
        <v>0</v>
      </c>
    </row>
    <row r="742" ht="15.75" customHeight="1">
      <c r="G742" s="14"/>
      <c r="J742" s="16"/>
      <c r="K742" s="14"/>
      <c r="L742" s="15" t="b">
        <v>0</v>
      </c>
    </row>
    <row r="743" ht="15.75" customHeight="1">
      <c r="G743" s="14"/>
      <c r="J743" s="16"/>
      <c r="K743" s="14"/>
      <c r="L743" s="15" t="b">
        <v>0</v>
      </c>
    </row>
    <row r="744" ht="15.75" customHeight="1">
      <c r="G744" s="14"/>
      <c r="J744" s="16"/>
      <c r="K744" s="14"/>
      <c r="L744" s="15" t="b">
        <v>0</v>
      </c>
    </row>
    <row r="745" ht="15.75" customHeight="1">
      <c r="G745" s="14"/>
      <c r="J745" s="16"/>
      <c r="K745" s="14"/>
      <c r="L745" s="15" t="b">
        <v>0</v>
      </c>
    </row>
    <row r="746" ht="15.75" customHeight="1">
      <c r="G746" s="14"/>
      <c r="J746" s="16"/>
      <c r="K746" s="14"/>
      <c r="L746" s="15" t="b">
        <v>0</v>
      </c>
    </row>
    <row r="747" ht="15.75" customHeight="1">
      <c r="G747" s="14"/>
      <c r="J747" s="16"/>
      <c r="K747" s="14"/>
      <c r="L747" s="15" t="b">
        <v>0</v>
      </c>
    </row>
    <row r="748" ht="15.75" customHeight="1">
      <c r="G748" s="14"/>
      <c r="J748" s="16"/>
      <c r="K748" s="14"/>
      <c r="L748" s="15" t="b">
        <v>0</v>
      </c>
    </row>
    <row r="749" ht="15.75" customHeight="1">
      <c r="G749" s="14"/>
      <c r="J749" s="16"/>
      <c r="K749" s="14"/>
      <c r="L749" s="15" t="b">
        <v>0</v>
      </c>
    </row>
    <row r="750" ht="15.75" customHeight="1">
      <c r="G750" s="14"/>
      <c r="J750" s="16"/>
      <c r="K750" s="14"/>
      <c r="L750" s="15" t="b">
        <v>0</v>
      </c>
    </row>
    <row r="751" ht="15.75" customHeight="1">
      <c r="G751" s="14"/>
      <c r="J751" s="16"/>
      <c r="K751" s="14"/>
      <c r="L751" s="15" t="b">
        <v>0</v>
      </c>
    </row>
    <row r="752" ht="15.75" customHeight="1">
      <c r="G752" s="14"/>
      <c r="J752" s="16"/>
      <c r="K752" s="14"/>
      <c r="L752" s="15" t="b">
        <v>0</v>
      </c>
    </row>
    <row r="753" ht="15.75" customHeight="1">
      <c r="G753" s="14"/>
      <c r="J753" s="16"/>
      <c r="K753" s="14"/>
      <c r="L753" s="15" t="b">
        <v>0</v>
      </c>
    </row>
    <row r="754" ht="15.75" customHeight="1">
      <c r="G754" s="14"/>
      <c r="J754" s="16"/>
      <c r="K754" s="14"/>
      <c r="L754" s="15" t="b">
        <v>0</v>
      </c>
    </row>
    <row r="755" ht="15.75" customHeight="1">
      <c r="G755" s="14"/>
      <c r="J755" s="16"/>
      <c r="K755" s="14"/>
      <c r="L755" s="15" t="b">
        <v>0</v>
      </c>
    </row>
    <row r="756" ht="15.75" customHeight="1">
      <c r="G756" s="14"/>
      <c r="J756" s="16"/>
      <c r="K756" s="14"/>
      <c r="L756" s="15" t="b">
        <v>0</v>
      </c>
    </row>
    <row r="757" ht="15.75" customHeight="1">
      <c r="G757" s="14"/>
      <c r="J757" s="16"/>
      <c r="K757" s="14"/>
      <c r="L757" s="15" t="b">
        <v>0</v>
      </c>
    </row>
    <row r="758" ht="15.75" customHeight="1">
      <c r="G758" s="14"/>
      <c r="J758" s="16"/>
      <c r="K758" s="14"/>
      <c r="L758" s="15" t="b">
        <v>0</v>
      </c>
    </row>
    <row r="759" ht="15.75" customHeight="1">
      <c r="G759" s="14"/>
      <c r="J759" s="16"/>
      <c r="K759" s="14"/>
      <c r="L759" s="15" t="b">
        <v>0</v>
      </c>
    </row>
    <row r="760" ht="15.75" customHeight="1">
      <c r="G760" s="14"/>
      <c r="J760" s="16"/>
      <c r="K760" s="14"/>
      <c r="L760" s="15" t="b">
        <v>0</v>
      </c>
    </row>
    <row r="761" ht="15.75" customHeight="1">
      <c r="G761" s="14"/>
      <c r="J761" s="16"/>
      <c r="K761" s="14"/>
      <c r="L761" s="15" t="b">
        <v>0</v>
      </c>
    </row>
    <row r="762" ht="15.75" customHeight="1">
      <c r="G762" s="14"/>
      <c r="J762" s="16"/>
      <c r="K762" s="14"/>
      <c r="L762" s="15" t="b">
        <v>0</v>
      </c>
    </row>
    <row r="763" ht="15.75" customHeight="1">
      <c r="G763" s="14"/>
      <c r="J763" s="16"/>
      <c r="K763" s="14"/>
      <c r="L763" s="15" t="b">
        <v>0</v>
      </c>
    </row>
    <row r="764" ht="15.75" customHeight="1">
      <c r="G764" s="14"/>
      <c r="J764" s="16"/>
      <c r="K764" s="14"/>
      <c r="L764" s="15" t="b">
        <v>0</v>
      </c>
    </row>
    <row r="765" ht="15.75" customHeight="1">
      <c r="G765" s="14"/>
      <c r="J765" s="16"/>
      <c r="K765" s="14"/>
      <c r="L765" s="15" t="b">
        <v>0</v>
      </c>
    </row>
    <row r="766" ht="15.75" customHeight="1">
      <c r="G766" s="14"/>
      <c r="J766" s="16"/>
      <c r="K766" s="14"/>
      <c r="L766" s="15" t="b">
        <v>0</v>
      </c>
    </row>
    <row r="767" ht="15.75" customHeight="1">
      <c r="G767" s="14"/>
      <c r="J767" s="16"/>
      <c r="K767" s="14"/>
      <c r="L767" s="15" t="b">
        <v>0</v>
      </c>
    </row>
    <row r="768" ht="15.75" customHeight="1">
      <c r="G768" s="14"/>
      <c r="J768" s="16"/>
      <c r="K768" s="14"/>
      <c r="L768" s="15" t="b">
        <v>0</v>
      </c>
    </row>
    <row r="769" ht="15.75" customHeight="1">
      <c r="G769" s="14"/>
      <c r="J769" s="16"/>
      <c r="K769" s="14"/>
      <c r="L769" s="15" t="b">
        <v>0</v>
      </c>
    </row>
    <row r="770" ht="15.75" customHeight="1">
      <c r="G770" s="14"/>
      <c r="J770" s="16"/>
      <c r="K770" s="14"/>
      <c r="L770" s="15" t="b">
        <v>0</v>
      </c>
    </row>
    <row r="771" ht="15.75" customHeight="1">
      <c r="G771" s="14"/>
      <c r="J771" s="16"/>
      <c r="K771" s="14"/>
      <c r="L771" s="15" t="b">
        <v>0</v>
      </c>
    </row>
    <row r="772" ht="15.75" customHeight="1">
      <c r="G772" s="14"/>
      <c r="J772" s="16"/>
      <c r="K772" s="14"/>
      <c r="L772" s="15" t="b">
        <v>0</v>
      </c>
    </row>
    <row r="773" ht="15.75" customHeight="1">
      <c r="G773" s="14"/>
      <c r="J773" s="16"/>
      <c r="K773" s="14"/>
      <c r="L773" s="15" t="b">
        <v>0</v>
      </c>
    </row>
    <row r="774" ht="15.75" customHeight="1">
      <c r="G774" s="14"/>
      <c r="J774" s="16"/>
      <c r="K774" s="14"/>
      <c r="L774" s="15" t="b">
        <v>0</v>
      </c>
    </row>
    <row r="775" ht="15.75" customHeight="1">
      <c r="G775" s="14"/>
      <c r="J775" s="16"/>
      <c r="K775" s="14"/>
      <c r="L775" s="15" t="b">
        <v>0</v>
      </c>
    </row>
    <row r="776" ht="15.75" customHeight="1">
      <c r="G776" s="14"/>
      <c r="J776" s="16"/>
      <c r="K776" s="14"/>
      <c r="L776" s="15" t="b">
        <v>0</v>
      </c>
    </row>
    <row r="777" ht="15.75" customHeight="1">
      <c r="G777" s="14"/>
      <c r="J777" s="16"/>
      <c r="K777" s="14"/>
      <c r="L777" s="15" t="b">
        <v>0</v>
      </c>
    </row>
    <row r="778" ht="15.75" customHeight="1">
      <c r="G778" s="14"/>
      <c r="J778" s="16"/>
      <c r="K778" s="14"/>
      <c r="L778" s="15" t="b">
        <v>0</v>
      </c>
    </row>
    <row r="779" ht="15.75" customHeight="1">
      <c r="G779" s="14"/>
      <c r="J779" s="16"/>
      <c r="K779" s="14"/>
      <c r="L779" s="15" t="b">
        <v>0</v>
      </c>
    </row>
    <row r="780" ht="15.75" customHeight="1">
      <c r="G780" s="14"/>
      <c r="J780" s="16"/>
      <c r="K780" s="14"/>
      <c r="L780" s="15" t="b">
        <v>0</v>
      </c>
    </row>
    <row r="781" ht="15.75" customHeight="1">
      <c r="G781" s="14"/>
      <c r="J781" s="16"/>
      <c r="K781" s="14"/>
      <c r="L781" s="15" t="b">
        <v>0</v>
      </c>
    </row>
    <row r="782" ht="15.75" customHeight="1">
      <c r="G782" s="14"/>
      <c r="J782" s="16"/>
      <c r="K782" s="14"/>
      <c r="L782" s="15" t="b">
        <v>0</v>
      </c>
    </row>
    <row r="783" ht="15.75" customHeight="1">
      <c r="G783" s="14"/>
      <c r="J783" s="16"/>
      <c r="K783" s="14"/>
      <c r="L783" s="15" t="b">
        <v>0</v>
      </c>
    </row>
    <row r="784" ht="15.75" customHeight="1">
      <c r="G784" s="14"/>
      <c r="J784" s="16"/>
      <c r="K784" s="14"/>
      <c r="L784" s="15" t="b">
        <v>0</v>
      </c>
    </row>
    <row r="785" ht="15.75" customHeight="1">
      <c r="G785" s="14"/>
      <c r="J785" s="16"/>
      <c r="K785" s="14"/>
      <c r="L785" s="15" t="b">
        <v>0</v>
      </c>
    </row>
    <row r="786" ht="15.75" customHeight="1">
      <c r="G786" s="14"/>
      <c r="J786" s="16"/>
      <c r="K786" s="14"/>
      <c r="L786" s="15" t="b">
        <v>0</v>
      </c>
    </row>
    <row r="787" ht="15.75" customHeight="1">
      <c r="G787" s="14"/>
      <c r="J787" s="16"/>
      <c r="K787" s="14"/>
      <c r="L787" s="15" t="b">
        <v>0</v>
      </c>
    </row>
    <row r="788" ht="15.75" customHeight="1">
      <c r="G788" s="14"/>
      <c r="J788" s="16"/>
      <c r="K788" s="14"/>
      <c r="L788" s="15" t="b">
        <v>0</v>
      </c>
    </row>
    <row r="789" ht="15.75" customHeight="1">
      <c r="G789" s="14"/>
      <c r="J789" s="16"/>
      <c r="K789" s="14"/>
      <c r="L789" s="15" t="b">
        <v>0</v>
      </c>
    </row>
    <row r="790" ht="15.75" customHeight="1">
      <c r="G790" s="14"/>
      <c r="J790" s="16"/>
      <c r="K790" s="14"/>
      <c r="L790" s="15" t="b">
        <v>0</v>
      </c>
    </row>
    <row r="791" ht="15.75" customHeight="1">
      <c r="G791" s="14"/>
      <c r="J791" s="16"/>
      <c r="K791" s="14"/>
      <c r="L791" s="15" t="b">
        <v>0</v>
      </c>
    </row>
    <row r="792" ht="15.75" customHeight="1">
      <c r="G792" s="14"/>
      <c r="J792" s="16"/>
      <c r="K792" s="14"/>
      <c r="L792" s="15" t="b">
        <v>0</v>
      </c>
    </row>
    <row r="793" ht="15.75" customHeight="1">
      <c r="G793" s="14"/>
      <c r="J793" s="16"/>
      <c r="K793" s="14"/>
      <c r="L793" s="15" t="b">
        <v>0</v>
      </c>
    </row>
    <row r="794" ht="15.75" customHeight="1">
      <c r="G794" s="14"/>
      <c r="J794" s="16"/>
      <c r="K794" s="14"/>
      <c r="L794" s="15" t="b">
        <v>0</v>
      </c>
    </row>
    <row r="795" ht="15.75" customHeight="1">
      <c r="G795" s="14"/>
      <c r="J795" s="16"/>
      <c r="K795" s="14"/>
      <c r="L795" s="15" t="b">
        <v>0</v>
      </c>
    </row>
    <row r="796" ht="15.75" customHeight="1">
      <c r="G796" s="14"/>
      <c r="J796" s="16"/>
      <c r="K796" s="14"/>
      <c r="L796" s="15" t="b">
        <v>0</v>
      </c>
    </row>
    <row r="797" ht="15.75" customHeight="1">
      <c r="G797" s="14"/>
      <c r="J797" s="16"/>
      <c r="K797" s="14"/>
      <c r="L797" s="15" t="b">
        <v>0</v>
      </c>
    </row>
    <row r="798" ht="15.75" customHeight="1">
      <c r="G798" s="14"/>
      <c r="J798" s="16"/>
      <c r="K798" s="14"/>
      <c r="L798" s="15" t="b">
        <v>0</v>
      </c>
    </row>
    <row r="799" ht="15.75" customHeight="1">
      <c r="G799" s="14"/>
      <c r="J799" s="16"/>
      <c r="K799" s="14"/>
      <c r="L799" s="15" t="b">
        <v>0</v>
      </c>
    </row>
    <row r="800" ht="15.75" customHeight="1">
      <c r="G800" s="14"/>
      <c r="J800" s="16"/>
      <c r="K800" s="14"/>
      <c r="L800" s="15" t="b">
        <v>0</v>
      </c>
    </row>
    <row r="801" ht="15.75" customHeight="1">
      <c r="G801" s="14"/>
      <c r="J801" s="16"/>
      <c r="K801" s="14"/>
      <c r="L801" s="15" t="b">
        <v>0</v>
      </c>
    </row>
    <row r="802" ht="15.75" customHeight="1">
      <c r="G802" s="14"/>
      <c r="J802" s="16"/>
      <c r="K802" s="14"/>
      <c r="L802" s="15" t="b">
        <v>0</v>
      </c>
    </row>
    <row r="803" ht="15.75" customHeight="1">
      <c r="G803" s="14"/>
      <c r="J803" s="16"/>
      <c r="K803" s="14"/>
      <c r="L803" s="15" t="b">
        <v>0</v>
      </c>
    </row>
    <row r="804" ht="15.75" customHeight="1">
      <c r="G804" s="14"/>
      <c r="J804" s="16"/>
      <c r="K804" s="14"/>
      <c r="L804" s="15" t="b">
        <v>0</v>
      </c>
    </row>
    <row r="805" ht="15.75" customHeight="1">
      <c r="G805" s="14"/>
      <c r="J805" s="16"/>
      <c r="K805" s="14"/>
      <c r="L805" s="15" t="b">
        <v>0</v>
      </c>
    </row>
    <row r="806" ht="15.75" customHeight="1">
      <c r="G806" s="14"/>
      <c r="J806" s="16"/>
      <c r="K806" s="14"/>
      <c r="L806" s="15" t="b">
        <v>0</v>
      </c>
    </row>
    <row r="807" ht="15.75" customHeight="1">
      <c r="G807" s="14"/>
      <c r="J807" s="16"/>
      <c r="K807" s="14"/>
      <c r="L807" s="15" t="b">
        <v>0</v>
      </c>
    </row>
    <row r="808" ht="15.75" customHeight="1">
      <c r="G808" s="14"/>
      <c r="J808" s="16"/>
      <c r="K808" s="14"/>
      <c r="L808" s="15" t="b">
        <v>0</v>
      </c>
    </row>
    <row r="809" ht="15.75" customHeight="1">
      <c r="G809" s="14"/>
      <c r="J809" s="16"/>
      <c r="K809" s="14"/>
      <c r="L809" s="15" t="b">
        <v>0</v>
      </c>
    </row>
    <row r="810" ht="15.75" customHeight="1">
      <c r="G810" s="14"/>
      <c r="J810" s="16"/>
      <c r="K810" s="14"/>
      <c r="L810" s="15" t="b">
        <v>0</v>
      </c>
    </row>
    <row r="811" ht="15.75" customHeight="1">
      <c r="G811" s="14"/>
      <c r="J811" s="16"/>
      <c r="K811" s="14"/>
      <c r="L811" s="15" t="b">
        <v>0</v>
      </c>
    </row>
    <row r="812" ht="15.75" customHeight="1">
      <c r="G812" s="14"/>
      <c r="J812" s="16"/>
      <c r="K812" s="14"/>
      <c r="L812" s="15" t="b">
        <v>0</v>
      </c>
    </row>
    <row r="813" ht="15.75" customHeight="1">
      <c r="G813" s="14"/>
      <c r="J813" s="16"/>
      <c r="K813" s="14"/>
      <c r="L813" s="15" t="b">
        <v>0</v>
      </c>
    </row>
    <row r="814" ht="15.75" customHeight="1">
      <c r="G814" s="14"/>
      <c r="J814" s="16"/>
      <c r="K814" s="14"/>
      <c r="L814" s="15" t="b">
        <v>0</v>
      </c>
    </row>
    <row r="815" ht="15.75" customHeight="1">
      <c r="G815" s="14"/>
      <c r="J815" s="16"/>
      <c r="K815" s="14"/>
      <c r="L815" s="15" t="b">
        <v>0</v>
      </c>
    </row>
    <row r="816" ht="15.75" customHeight="1">
      <c r="G816" s="14"/>
      <c r="J816" s="16"/>
      <c r="K816" s="14"/>
      <c r="L816" s="15" t="b">
        <v>0</v>
      </c>
    </row>
    <row r="817" ht="15.75" customHeight="1">
      <c r="G817" s="14"/>
      <c r="J817" s="16"/>
      <c r="K817" s="14"/>
      <c r="L817" s="15" t="b">
        <v>0</v>
      </c>
    </row>
    <row r="818" ht="15.75" customHeight="1">
      <c r="G818" s="14"/>
      <c r="J818" s="16"/>
      <c r="K818" s="14"/>
      <c r="L818" s="15" t="b">
        <v>0</v>
      </c>
    </row>
    <row r="819" ht="15.75" customHeight="1">
      <c r="G819" s="14"/>
      <c r="J819" s="16"/>
      <c r="K819" s="14"/>
      <c r="L819" s="15" t="b">
        <v>0</v>
      </c>
    </row>
    <row r="820" ht="15.75" customHeight="1">
      <c r="G820" s="14"/>
      <c r="J820" s="16"/>
      <c r="K820" s="14"/>
      <c r="L820" s="15" t="b">
        <v>0</v>
      </c>
    </row>
    <row r="821" ht="15.75" customHeight="1">
      <c r="G821" s="14"/>
      <c r="J821" s="16"/>
      <c r="K821" s="14"/>
      <c r="L821" s="15" t="b">
        <v>0</v>
      </c>
    </row>
    <row r="822" ht="15.75" customHeight="1">
      <c r="G822" s="14"/>
      <c r="J822" s="16"/>
      <c r="K822" s="14"/>
      <c r="L822" s="15" t="b">
        <v>0</v>
      </c>
    </row>
    <row r="823" ht="15.75" customHeight="1">
      <c r="G823" s="14"/>
      <c r="J823" s="16"/>
      <c r="K823" s="14"/>
      <c r="L823" s="15" t="b">
        <v>0</v>
      </c>
    </row>
    <row r="824" ht="15.75" customHeight="1">
      <c r="G824" s="14"/>
      <c r="J824" s="16"/>
      <c r="K824" s="14"/>
      <c r="L824" s="15" t="b">
        <v>0</v>
      </c>
    </row>
    <row r="825" ht="15.75" customHeight="1">
      <c r="G825" s="14"/>
      <c r="J825" s="16"/>
      <c r="K825" s="14"/>
      <c r="L825" s="15" t="b">
        <v>0</v>
      </c>
    </row>
    <row r="826" ht="15.75" customHeight="1">
      <c r="G826" s="14"/>
      <c r="J826" s="16"/>
      <c r="K826" s="14"/>
      <c r="L826" s="15" t="b">
        <v>0</v>
      </c>
    </row>
    <row r="827" ht="15.75" customHeight="1">
      <c r="G827" s="14"/>
      <c r="J827" s="16"/>
      <c r="K827" s="14"/>
      <c r="L827" s="15" t="b">
        <v>0</v>
      </c>
    </row>
    <row r="828" ht="15.75" customHeight="1">
      <c r="G828" s="14"/>
      <c r="J828" s="16"/>
      <c r="K828" s="14"/>
      <c r="L828" s="15" t="b">
        <v>0</v>
      </c>
    </row>
    <row r="829" ht="15.75" customHeight="1">
      <c r="G829" s="14"/>
      <c r="J829" s="16"/>
      <c r="K829" s="14"/>
      <c r="L829" s="15" t="b">
        <v>0</v>
      </c>
    </row>
    <row r="830" ht="15.75" customHeight="1">
      <c r="G830" s="14"/>
      <c r="J830" s="16"/>
      <c r="K830" s="14"/>
      <c r="L830" s="15" t="b">
        <v>0</v>
      </c>
    </row>
    <row r="831" ht="15.75" customHeight="1">
      <c r="G831" s="14"/>
      <c r="J831" s="16"/>
      <c r="K831" s="14"/>
      <c r="L831" s="15" t="b">
        <v>0</v>
      </c>
    </row>
    <row r="832" ht="15.75" customHeight="1">
      <c r="G832" s="14"/>
      <c r="J832" s="16"/>
      <c r="K832" s="14"/>
      <c r="L832" s="15" t="b">
        <v>0</v>
      </c>
    </row>
    <row r="833" ht="15.75" customHeight="1">
      <c r="G833" s="14"/>
      <c r="J833" s="16"/>
      <c r="K833" s="14"/>
      <c r="L833" s="15" t="b">
        <v>0</v>
      </c>
    </row>
    <row r="834" ht="15.75" customHeight="1">
      <c r="G834" s="14"/>
      <c r="J834" s="16"/>
      <c r="K834" s="14"/>
      <c r="L834" s="15" t="b">
        <v>0</v>
      </c>
    </row>
    <row r="835" ht="15.75" customHeight="1">
      <c r="G835" s="14"/>
      <c r="J835" s="16"/>
      <c r="K835" s="14"/>
      <c r="L835" s="15" t="b">
        <v>0</v>
      </c>
    </row>
    <row r="836" ht="15.75" customHeight="1">
      <c r="G836" s="14"/>
      <c r="J836" s="16"/>
      <c r="K836" s="14"/>
      <c r="L836" s="15" t="b">
        <v>0</v>
      </c>
    </row>
    <row r="837" ht="15.75" customHeight="1">
      <c r="G837" s="14"/>
      <c r="J837" s="16"/>
      <c r="K837" s="14"/>
      <c r="L837" s="15" t="b">
        <v>0</v>
      </c>
    </row>
    <row r="838" ht="15.75" customHeight="1">
      <c r="G838" s="14"/>
      <c r="J838" s="16"/>
      <c r="K838" s="14"/>
      <c r="L838" s="15" t="b">
        <v>0</v>
      </c>
    </row>
    <row r="839" ht="15.75" customHeight="1">
      <c r="G839" s="14"/>
      <c r="J839" s="16"/>
      <c r="K839" s="14"/>
      <c r="L839" s="15" t="b">
        <v>0</v>
      </c>
    </row>
    <row r="840" ht="15.75" customHeight="1">
      <c r="G840" s="14"/>
      <c r="J840" s="16"/>
      <c r="K840" s="14"/>
      <c r="L840" s="15" t="b">
        <v>0</v>
      </c>
    </row>
    <row r="841" ht="15.75" customHeight="1">
      <c r="G841" s="14"/>
      <c r="J841" s="16"/>
      <c r="K841" s="14"/>
      <c r="L841" s="15" t="b">
        <v>0</v>
      </c>
    </row>
    <row r="842" ht="15.75" customHeight="1">
      <c r="G842" s="14"/>
      <c r="J842" s="16"/>
      <c r="K842" s="14"/>
      <c r="L842" s="15" t="b">
        <v>0</v>
      </c>
    </row>
    <row r="843" ht="15.75" customHeight="1">
      <c r="G843" s="14"/>
      <c r="J843" s="16"/>
      <c r="K843" s="14"/>
      <c r="L843" s="15" t="b">
        <v>0</v>
      </c>
    </row>
    <row r="844" ht="15.75" customHeight="1">
      <c r="G844" s="14"/>
      <c r="J844" s="16"/>
      <c r="K844" s="14"/>
      <c r="L844" s="15" t="b">
        <v>0</v>
      </c>
    </row>
    <row r="845" ht="15.75" customHeight="1">
      <c r="G845" s="14"/>
      <c r="J845" s="16"/>
      <c r="K845" s="14"/>
      <c r="L845" s="15" t="b">
        <v>0</v>
      </c>
    </row>
    <row r="846" ht="15.75" customHeight="1">
      <c r="G846" s="14"/>
      <c r="J846" s="16"/>
      <c r="K846" s="14"/>
      <c r="L846" s="15" t="b">
        <v>0</v>
      </c>
    </row>
    <row r="847" ht="15.75" customHeight="1">
      <c r="G847" s="14"/>
      <c r="J847" s="16"/>
      <c r="K847" s="14"/>
      <c r="L847" s="15" t="b">
        <v>0</v>
      </c>
    </row>
    <row r="848" ht="15.75" customHeight="1">
      <c r="G848" s="14"/>
      <c r="J848" s="16"/>
      <c r="K848" s="14"/>
      <c r="L848" s="15" t="b">
        <v>0</v>
      </c>
    </row>
    <row r="849" ht="15.75" customHeight="1">
      <c r="G849" s="14"/>
      <c r="J849" s="16"/>
      <c r="K849" s="14"/>
      <c r="L849" s="15" t="b">
        <v>0</v>
      </c>
    </row>
    <row r="850" ht="15.75" customHeight="1">
      <c r="G850" s="14"/>
      <c r="J850" s="16"/>
      <c r="K850" s="14"/>
      <c r="L850" s="15" t="b">
        <v>0</v>
      </c>
    </row>
    <row r="851" ht="15.75" customHeight="1">
      <c r="G851" s="14"/>
      <c r="J851" s="16"/>
      <c r="K851" s="14"/>
      <c r="L851" s="15" t="b">
        <v>0</v>
      </c>
    </row>
    <row r="852" ht="15.75" customHeight="1">
      <c r="G852" s="14"/>
      <c r="J852" s="16"/>
      <c r="K852" s="14"/>
      <c r="L852" s="15" t="b">
        <v>0</v>
      </c>
    </row>
    <row r="853" ht="15.75" customHeight="1">
      <c r="G853" s="14"/>
      <c r="J853" s="16"/>
      <c r="K853" s="14"/>
      <c r="L853" s="15" t="b">
        <v>0</v>
      </c>
    </row>
    <row r="854" ht="15.75" customHeight="1">
      <c r="G854" s="14"/>
      <c r="J854" s="16"/>
      <c r="K854" s="14"/>
      <c r="L854" s="15" t="b">
        <v>0</v>
      </c>
    </row>
    <row r="855" ht="15.75" customHeight="1">
      <c r="G855" s="14"/>
      <c r="J855" s="16"/>
      <c r="K855" s="14"/>
      <c r="L855" s="15" t="b">
        <v>0</v>
      </c>
    </row>
    <row r="856" ht="15.75" customHeight="1">
      <c r="G856" s="14"/>
      <c r="J856" s="16"/>
      <c r="K856" s="14"/>
      <c r="L856" s="15" t="b">
        <v>0</v>
      </c>
    </row>
    <row r="857" ht="15.75" customHeight="1">
      <c r="G857" s="14"/>
      <c r="J857" s="16"/>
      <c r="K857" s="14"/>
      <c r="L857" s="15" t="b">
        <v>0</v>
      </c>
    </row>
    <row r="858" ht="15.75" customHeight="1">
      <c r="G858" s="14"/>
      <c r="J858" s="16"/>
      <c r="K858" s="14"/>
      <c r="L858" s="15" t="b">
        <v>0</v>
      </c>
    </row>
    <row r="859" ht="15.75" customHeight="1">
      <c r="G859" s="14"/>
      <c r="J859" s="16"/>
      <c r="K859" s="14"/>
      <c r="L859" s="15" t="b">
        <v>0</v>
      </c>
    </row>
    <row r="860" ht="15.75" customHeight="1">
      <c r="G860" s="14"/>
      <c r="J860" s="16"/>
      <c r="K860" s="14"/>
      <c r="L860" s="15" t="b">
        <v>0</v>
      </c>
    </row>
    <row r="861" ht="15.75" customHeight="1">
      <c r="G861" s="14"/>
      <c r="J861" s="16"/>
      <c r="K861" s="14"/>
      <c r="L861" s="15" t="b">
        <v>0</v>
      </c>
    </row>
    <row r="862" ht="15.75" customHeight="1">
      <c r="G862" s="14"/>
      <c r="J862" s="16"/>
      <c r="K862" s="14"/>
      <c r="L862" s="15" t="b">
        <v>0</v>
      </c>
    </row>
    <row r="863" ht="15.75" customHeight="1">
      <c r="G863" s="14"/>
      <c r="J863" s="16"/>
      <c r="K863" s="14"/>
      <c r="L863" s="15" t="b">
        <v>0</v>
      </c>
    </row>
    <row r="864" ht="15.75" customHeight="1">
      <c r="G864" s="14"/>
      <c r="J864" s="16"/>
      <c r="K864" s="14"/>
      <c r="L864" s="15" t="b">
        <v>0</v>
      </c>
    </row>
    <row r="865" ht="15.75" customHeight="1">
      <c r="G865" s="14"/>
      <c r="J865" s="16"/>
      <c r="K865" s="14"/>
      <c r="L865" s="15" t="b">
        <v>0</v>
      </c>
    </row>
    <row r="866" ht="15.75" customHeight="1">
      <c r="G866" s="14"/>
      <c r="J866" s="16"/>
      <c r="K866" s="14"/>
      <c r="L866" s="15" t="b">
        <v>0</v>
      </c>
    </row>
    <row r="867" ht="15.75" customHeight="1">
      <c r="G867" s="14"/>
      <c r="J867" s="16"/>
      <c r="K867" s="14"/>
      <c r="L867" s="15" t="b">
        <v>0</v>
      </c>
    </row>
    <row r="868" ht="15.75" customHeight="1">
      <c r="G868" s="14"/>
      <c r="J868" s="16"/>
      <c r="K868" s="14"/>
      <c r="L868" s="15" t="b">
        <v>0</v>
      </c>
    </row>
    <row r="869" ht="15.75" customHeight="1">
      <c r="G869" s="14"/>
      <c r="J869" s="16"/>
      <c r="K869" s="14"/>
      <c r="L869" s="15" t="b">
        <v>0</v>
      </c>
    </row>
    <row r="870" ht="15.75" customHeight="1">
      <c r="G870" s="14"/>
      <c r="J870" s="16"/>
      <c r="K870" s="14"/>
      <c r="L870" s="15" t="b">
        <v>0</v>
      </c>
    </row>
    <row r="871" ht="15.75" customHeight="1">
      <c r="G871" s="14"/>
      <c r="J871" s="16"/>
      <c r="K871" s="14"/>
      <c r="L871" s="15" t="b">
        <v>0</v>
      </c>
    </row>
    <row r="872" ht="15.75" customHeight="1">
      <c r="G872" s="14"/>
      <c r="J872" s="16"/>
      <c r="K872" s="14"/>
      <c r="L872" s="15" t="b">
        <v>0</v>
      </c>
    </row>
    <row r="873" ht="15.75" customHeight="1">
      <c r="G873" s="14"/>
      <c r="J873" s="16"/>
      <c r="K873" s="14"/>
      <c r="L873" s="15" t="b">
        <v>0</v>
      </c>
    </row>
    <row r="874" ht="15.75" customHeight="1">
      <c r="G874" s="14"/>
      <c r="J874" s="16"/>
      <c r="K874" s="14"/>
      <c r="L874" s="15" t="b">
        <v>0</v>
      </c>
    </row>
    <row r="875" ht="15.75" customHeight="1">
      <c r="G875" s="14"/>
      <c r="J875" s="16"/>
      <c r="K875" s="14"/>
      <c r="L875" s="15" t="b">
        <v>0</v>
      </c>
    </row>
    <row r="876" ht="15.75" customHeight="1">
      <c r="G876" s="14"/>
      <c r="J876" s="16"/>
      <c r="K876" s="14"/>
      <c r="L876" s="15" t="b">
        <v>0</v>
      </c>
    </row>
    <row r="877" ht="15.75" customHeight="1">
      <c r="G877" s="14"/>
      <c r="J877" s="16"/>
      <c r="K877" s="14"/>
      <c r="L877" s="15" t="b">
        <v>0</v>
      </c>
    </row>
    <row r="878" ht="15.75" customHeight="1">
      <c r="G878" s="14"/>
      <c r="J878" s="16"/>
      <c r="K878" s="14"/>
      <c r="L878" s="15" t="b">
        <v>0</v>
      </c>
    </row>
    <row r="879" ht="15.75" customHeight="1">
      <c r="G879" s="14"/>
      <c r="J879" s="16"/>
      <c r="K879" s="14"/>
      <c r="L879" s="15" t="b">
        <v>0</v>
      </c>
    </row>
    <row r="880" ht="15.75" customHeight="1">
      <c r="G880" s="14"/>
      <c r="J880" s="16"/>
      <c r="K880" s="14"/>
      <c r="L880" s="15" t="b">
        <v>0</v>
      </c>
    </row>
    <row r="881" ht="15.75" customHeight="1">
      <c r="G881" s="14"/>
      <c r="J881" s="16"/>
      <c r="K881" s="14"/>
      <c r="L881" s="15" t="b">
        <v>0</v>
      </c>
    </row>
    <row r="882" ht="15.75" customHeight="1">
      <c r="G882" s="14"/>
      <c r="J882" s="16"/>
      <c r="K882" s="14"/>
      <c r="L882" s="15" t="b">
        <v>0</v>
      </c>
    </row>
    <row r="883" ht="15.75" customHeight="1">
      <c r="G883" s="14"/>
      <c r="J883" s="16"/>
      <c r="K883" s="14"/>
      <c r="L883" s="15" t="b">
        <v>0</v>
      </c>
    </row>
    <row r="884" ht="15.75" customHeight="1">
      <c r="G884" s="14"/>
      <c r="J884" s="16"/>
      <c r="K884" s="14"/>
      <c r="L884" s="15" t="b">
        <v>0</v>
      </c>
    </row>
    <row r="885" ht="15.75" customHeight="1">
      <c r="G885" s="14"/>
      <c r="J885" s="16"/>
      <c r="K885" s="14"/>
      <c r="L885" s="15" t="b">
        <v>0</v>
      </c>
    </row>
    <row r="886" ht="15.75" customHeight="1">
      <c r="G886" s="14"/>
      <c r="J886" s="16"/>
      <c r="K886" s="14"/>
      <c r="L886" s="15" t="b">
        <v>0</v>
      </c>
    </row>
    <row r="887" ht="15.75" customHeight="1">
      <c r="G887" s="14"/>
      <c r="J887" s="16"/>
      <c r="K887" s="14"/>
      <c r="L887" s="15" t="b">
        <v>0</v>
      </c>
    </row>
    <row r="888" ht="15.75" customHeight="1">
      <c r="G888" s="14"/>
      <c r="J888" s="16"/>
      <c r="K888" s="14"/>
      <c r="L888" s="15" t="b">
        <v>0</v>
      </c>
    </row>
    <row r="889" ht="15.75" customHeight="1">
      <c r="G889" s="14"/>
      <c r="J889" s="16"/>
      <c r="K889" s="14"/>
      <c r="L889" s="15" t="b">
        <v>0</v>
      </c>
    </row>
    <row r="890" ht="15.75" customHeight="1">
      <c r="G890" s="14"/>
      <c r="J890" s="16"/>
      <c r="K890" s="14"/>
      <c r="L890" s="15" t="b">
        <v>0</v>
      </c>
    </row>
    <row r="891" ht="15.75" customHeight="1">
      <c r="G891" s="14"/>
      <c r="J891" s="16"/>
      <c r="K891" s="14"/>
      <c r="L891" s="15" t="b">
        <v>0</v>
      </c>
    </row>
    <row r="892" ht="15.75" customHeight="1">
      <c r="G892" s="14"/>
      <c r="J892" s="16"/>
      <c r="K892" s="14"/>
      <c r="L892" s="15" t="b">
        <v>0</v>
      </c>
    </row>
    <row r="893" ht="15.75" customHeight="1">
      <c r="G893" s="14"/>
      <c r="J893" s="16"/>
      <c r="K893" s="14"/>
      <c r="L893" s="15" t="b">
        <v>0</v>
      </c>
    </row>
    <row r="894" ht="15.75" customHeight="1">
      <c r="G894" s="14"/>
      <c r="J894" s="16"/>
      <c r="K894" s="14"/>
      <c r="L894" s="15" t="b">
        <v>0</v>
      </c>
    </row>
    <row r="895" ht="15.75" customHeight="1">
      <c r="G895" s="14"/>
      <c r="J895" s="16"/>
      <c r="K895" s="14"/>
      <c r="L895" s="15" t="b">
        <v>0</v>
      </c>
    </row>
    <row r="896" ht="15.75" customHeight="1">
      <c r="G896" s="14"/>
      <c r="J896" s="16"/>
      <c r="K896" s="14"/>
      <c r="L896" s="15" t="b">
        <v>0</v>
      </c>
    </row>
    <row r="897" ht="15.75" customHeight="1">
      <c r="G897" s="14"/>
      <c r="J897" s="16"/>
      <c r="K897" s="14"/>
      <c r="L897" s="15" t="b">
        <v>0</v>
      </c>
    </row>
    <row r="898" ht="15.75" customHeight="1">
      <c r="G898" s="14"/>
      <c r="J898" s="16"/>
      <c r="K898" s="14"/>
      <c r="L898" s="15" t="b">
        <v>0</v>
      </c>
    </row>
    <row r="899" ht="15.75" customHeight="1">
      <c r="G899" s="14"/>
      <c r="J899" s="16"/>
      <c r="K899" s="14"/>
      <c r="L899" s="15" t="b">
        <v>0</v>
      </c>
    </row>
    <row r="900" ht="15.75" customHeight="1">
      <c r="G900" s="14"/>
      <c r="J900" s="16"/>
      <c r="K900" s="14"/>
      <c r="L900" s="15" t="b">
        <v>0</v>
      </c>
    </row>
    <row r="901" ht="15.75" customHeight="1">
      <c r="G901" s="14"/>
      <c r="J901" s="16"/>
      <c r="K901" s="14"/>
      <c r="L901" s="15" t="b">
        <v>0</v>
      </c>
    </row>
    <row r="902" ht="15.75" customHeight="1">
      <c r="G902" s="14"/>
      <c r="J902" s="16"/>
      <c r="K902" s="14"/>
      <c r="L902" s="15" t="b">
        <v>0</v>
      </c>
    </row>
    <row r="903" ht="15.75" customHeight="1">
      <c r="G903" s="14"/>
      <c r="J903" s="16"/>
      <c r="K903" s="14"/>
      <c r="L903" s="15" t="b">
        <v>0</v>
      </c>
    </row>
    <row r="904" ht="15.75" customHeight="1">
      <c r="G904" s="14"/>
      <c r="J904" s="16"/>
      <c r="K904" s="14"/>
      <c r="L904" s="15" t="b">
        <v>0</v>
      </c>
    </row>
    <row r="905" ht="15.75" customHeight="1">
      <c r="G905" s="14"/>
      <c r="J905" s="16"/>
      <c r="K905" s="14"/>
      <c r="L905" s="15" t="b">
        <v>0</v>
      </c>
    </row>
    <row r="906" ht="15.75" customHeight="1">
      <c r="G906" s="14"/>
      <c r="J906" s="16"/>
      <c r="K906" s="14"/>
      <c r="L906" s="15" t="b">
        <v>0</v>
      </c>
    </row>
    <row r="907" ht="15.75" customHeight="1">
      <c r="G907" s="14"/>
      <c r="J907" s="16"/>
      <c r="K907" s="14"/>
      <c r="L907" s="15" t="b">
        <v>0</v>
      </c>
    </row>
    <row r="908" ht="15.75" customHeight="1">
      <c r="G908" s="14"/>
      <c r="J908" s="16"/>
      <c r="K908" s="14"/>
      <c r="L908" s="15" t="b">
        <v>0</v>
      </c>
    </row>
    <row r="909" ht="15.75" customHeight="1">
      <c r="G909" s="14"/>
      <c r="J909" s="16"/>
      <c r="K909" s="14"/>
      <c r="L909" s="15" t="b">
        <v>0</v>
      </c>
    </row>
    <row r="910" ht="15.75" customHeight="1">
      <c r="G910" s="14"/>
      <c r="J910" s="16"/>
      <c r="K910" s="14"/>
      <c r="L910" s="15" t="b">
        <v>0</v>
      </c>
    </row>
    <row r="911" ht="15.75" customHeight="1">
      <c r="G911" s="14"/>
      <c r="J911" s="16"/>
      <c r="K911" s="14"/>
      <c r="L911" s="15" t="b">
        <v>0</v>
      </c>
    </row>
    <row r="912" ht="15.75" customHeight="1">
      <c r="G912" s="14"/>
      <c r="J912" s="16"/>
      <c r="K912" s="14"/>
      <c r="L912" s="15" t="b">
        <v>0</v>
      </c>
    </row>
    <row r="913" ht="15.75" customHeight="1">
      <c r="G913" s="14"/>
      <c r="J913" s="16"/>
      <c r="K913" s="14"/>
      <c r="L913" s="15" t="b">
        <v>0</v>
      </c>
    </row>
    <row r="914" ht="15.75" customHeight="1">
      <c r="G914" s="14"/>
      <c r="J914" s="16"/>
      <c r="K914" s="14"/>
      <c r="L914" s="15" t="b">
        <v>0</v>
      </c>
    </row>
    <row r="915" ht="15.75" customHeight="1">
      <c r="G915" s="14"/>
      <c r="J915" s="16"/>
      <c r="K915" s="14"/>
      <c r="L915" s="15" t="b">
        <v>0</v>
      </c>
    </row>
    <row r="916" ht="15.75" customHeight="1">
      <c r="G916" s="14"/>
      <c r="J916" s="16"/>
      <c r="K916" s="14"/>
      <c r="L916" s="15" t="b">
        <v>0</v>
      </c>
    </row>
    <row r="917" ht="15.75" customHeight="1">
      <c r="G917" s="14"/>
      <c r="J917" s="16"/>
      <c r="K917" s="14"/>
      <c r="L917" s="15" t="b">
        <v>0</v>
      </c>
    </row>
    <row r="918" ht="15.75" customHeight="1">
      <c r="G918" s="14"/>
      <c r="J918" s="16"/>
      <c r="K918" s="14"/>
      <c r="L918" s="15" t="b">
        <v>0</v>
      </c>
    </row>
    <row r="919" ht="15.75" customHeight="1">
      <c r="G919" s="14"/>
      <c r="J919" s="16"/>
      <c r="K919" s="14"/>
      <c r="L919" s="15" t="b">
        <v>0</v>
      </c>
    </row>
    <row r="920" ht="15.75" customHeight="1">
      <c r="G920" s="14"/>
      <c r="J920" s="16"/>
      <c r="K920" s="14"/>
      <c r="L920" s="15" t="b">
        <v>0</v>
      </c>
    </row>
    <row r="921" ht="15.75" customHeight="1">
      <c r="G921" s="14"/>
      <c r="J921" s="16"/>
      <c r="K921" s="14"/>
      <c r="L921" s="15" t="b">
        <v>0</v>
      </c>
    </row>
    <row r="922" ht="15.75" customHeight="1">
      <c r="G922" s="14"/>
      <c r="J922" s="16"/>
      <c r="K922" s="14"/>
      <c r="L922" s="15" t="b">
        <v>0</v>
      </c>
    </row>
    <row r="923" ht="15.75" customHeight="1">
      <c r="G923" s="14"/>
      <c r="J923" s="16"/>
      <c r="K923" s="14"/>
      <c r="L923" s="15" t="b">
        <v>0</v>
      </c>
    </row>
    <row r="924" ht="15.75" customHeight="1">
      <c r="G924" s="14"/>
      <c r="J924" s="16"/>
      <c r="K924" s="14"/>
      <c r="L924" s="15" t="b">
        <v>0</v>
      </c>
    </row>
    <row r="925" ht="15.75" customHeight="1">
      <c r="G925" s="14"/>
      <c r="J925" s="16"/>
      <c r="K925" s="14"/>
      <c r="L925" s="15" t="b">
        <v>0</v>
      </c>
    </row>
    <row r="926" ht="15.75" customHeight="1">
      <c r="G926" s="14"/>
      <c r="J926" s="16"/>
      <c r="K926" s="14"/>
      <c r="L926" s="15" t="b">
        <v>0</v>
      </c>
    </row>
    <row r="927" ht="15.75" customHeight="1">
      <c r="G927" s="14"/>
      <c r="J927" s="16"/>
      <c r="K927" s="14"/>
      <c r="L927" s="15" t="b">
        <v>0</v>
      </c>
    </row>
    <row r="928" ht="15.75" customHeight="1">
      <c r="G928" s="14"/>
      <c r="J928" s="16"/>
      <c r="K928" s="14"/>
      <c r="L928" s="15" t="b">
        <v>0</v>
      </c>
    </row>
    <row r="929" ht="15.75" customHeight="1">
      <c r="G929" s="14"/>
      <c r="J929" s="16"/>
      <c r="K929" s="14"/>
      <c r="L929" s="15" t="b">
        <v>0</v>
      </c>
    </row>
    <row r="930" ht="15.75" customHeight="1">
      <c r="G930" s="14"/>
      <c r="J930" s="16"/>
      <c r="K930" s="14"/>
      <c r="L930" s="15" t="b">
        <v>0</v>
      </c>
    </row>
    <row r="931" ht="15.75" customHeight="1">
      <c r="G931" s="14"/>
      <c r="J931" s="16"/>
      <c r="K931" s="14"/>
      <c r="L931" s="15" t="b">
        <v>0</v>
      </c>
    </row>
    <row r="932" ht="15.75" customHeight="1">
      <c r="G932" s="14"/>
      <c r="J932" s="16"/>
      <c r="K932" s="14"/>
      <c r="L932" s="15" t="b">
        <v>0</v>
      </c>
    </row>
    <row r="933" ht="15.75" customHeight="1">
      <c r="G933" s="14"/>
      <c r="J933" s="16"/>
      <c r="K933" s="14"/>
      <c r="L933" s="15" t="b">
        <v>0</v>
      </c>
    </row>
    <row r="934" ht="15.75" customHeight="1">
      <c r="G934" s="14"/>
      <c r="J934" s="16"/>
      <c r="K934" s="14"/>
      <c r="L934" s="15" t="b">
        <v>0</v>
      </c>
    </row>
    <row r="935" ht="15.75" customHeight="1">
      <c r="G935" s="14"/>
      <c r="J935" s="16"/>
      <c r="K935" s="14"/>
      <c r="L935" s="15" t="b">
        <v>0</v>
      </c>
    </row>
    <row r="936" ht="15.75" customHeight="1">
      <c r="G936" s="14"/>
      <c r="J936" s="16"/>
      <c r="K936" s="14"/>
      <c r="L936" s="15" t="b">
        <v>0</v>
      </c>
    </row>
    <row r="937" ht="15.75" customHeight="1">
      <c r="G937" s="14"/>
      <c r="J937" s="16"/>
      <c r="K937" s="14"/>
      <c r="L937" s="15" t="b">
        <v>0</v>
      </c>
    </row>
    <row r="938" ht="15.75" customHeight="1">
      <c r="G938" s="14"/>
      <c r="J938" s="16"/>
      <c r="K938" s="14"/>
      <c r="L938" s="15" t="b">
        <v>0</v>
      </c>
    </row>
    <row r="939" ht="15.75" customHeight="1">
      <c r="G939" s="14"/>
      <c r="J939" s="16"/>
      <c r="K939" s="14"/>
      <c r="L939" s="15" t="b">
        <v>0</v>
      </c>
    </row>
    <row r="940" ht="15.75" customHeight="1">
      <c r="G940" s="14"/>
      <c r="J940" s="16"/>
      <c r="K940" s="14"/>
      <c r="L940" s="15" t="b">
        <v>0</v>
      </c>
    </row>
    <row r="941" ht="15.75" customHeight="1">
      <c r="G941" s="14"/>
      <c r="J941" s="16"/>
      <c r="K941" s="14"/>
      <c r="L941" s="15" t="b">
        <v>0</v>
      </c>
    </row>
    <row r="942" ht="15.75" customHeight="1">
      <c r="G942" s="14"/>
      <c r="J942" s="16"/>
      <c r="K942" s="14"/>
      <c r="L942" s="15" t="b">
        <v>0</v>
      </c>
    </row>
    <row r="943" ht="15.75" customHeight="1">
      <c r="G943" s="14"/>
      <c r="J943" s="16"/>
      <c r="K943" s="14"/>
      <c r="L943" s="15" t="b">
        <v>0</v>
      </c>
    </row>
    <row r="944" ht="15.75" customHeight="1">
      <c r="G944" s="14"/>
      <c r="J944" s="16"/>
      <c r="K944" s="14"/>
      <c r="L944" s="15" t="b">
        <v>0</v>
      </c>
    </row>
    <row r="945" ht="15.75" customHeight="1">
      <c r="G945" s="14"/>
      <c r="J945" s="16"/>
      <c r="K945" s="14"/>
      <c r="L945" s="15" t="b">
        <v>0</v>
      </c>
    </row>
    <row r="946" ht="15.75" customHeight="1">
      <c r="G946" s="14"/>
      <c r="J946" s="16"/>
      <c r="K946" s="14"/>
      <c r="L946" s="15" t="b">
        <v>0</v>
      </c>
    </row>
    <row r="947" ht="15.75" customHeight="1">
      <c r="G947" s="14"/>
      <c r="J947" s="16"/>
      <c r="K947" s="14"/>
      <c r="L947" s="15" t="b">
        <v>0</v>
      </c>
    </row>
    <row r="948" ht="15.75" customHeight="1">
      <c r="G948" s="14"/>
      <c r="J948" s="16"/>
      <c r="K948" s="14"/>
      <c r="L948" s="15" t="b">
        <v>0</v>
      </c>
    </row>
    <row r="949" ht="15.75" customHeight="1">
      <c r="G949" s="14"/>
      <c r="J949" s="16"/>
      <c r="K949" s="14"/>
      <c r="L949" s="15" t="b">
        <v>0</v>
      </c>
    </row>
    <row r="950" ht="15.75" customHeight="1">
      <c r="G950" s="14"/>
      <c r="J950" s="16"/>
      <c r="K950" s="14"/>
      <c r="L950" s="15" t="b">
        <v>0</v>
      </c>
    </row>
    <row r="951" ht="15.75" customHeight="1">
      <c r="G951" s="14"/>
      <c r="J951" s="16"/>
      <c r="K951" s="14"/>
      <c r="L951" s="15" t="b">
        <v>0</v>
      </c>
    </row>
    <row r="952" ht="15.75" customHeight="1">
      <c r="G952" s="14"/>
      <c r="J952" s="16"/>
      <c r="K952" s="14"/>
      <c r="L952" s="15" t="b">
        <v>0</v>
      </c>
    </row>
    <row r="953" ht="15.75" customHeight="1">
      <c r="G953" s="14"/>
      <c r="J953" s="16"/>
      <c r="K953" s="14"/>
      <c r="L953" s="15" t="b">
        <v>0</v>
      </c>
    </row>
    <row r="954" ht="15.75" customHeight="1">
      <c r="G954" s="14"/>
      <c r="J954" s="16"/>
      <c r="K954" s="14"/>
      <c r="L954" s="15" t="b">
        <v>0</v>
      </c>
    </row>
    <row r="955" ht="15.75" customHeight="1">
      <c r="G955" s="14"/>
      <c r="J955" s="16"/>
      <c r="K955" s="14"/>
      <c r="L955" s="15" t="b">
        <v>0</v>
      </c>
    </row>
    <row r="956" ht="15.75" customHeight="1">
      <c r="G956" s="14"/>
      <c r="J956" s="16"/>
      <c r="K956" s="14"/>
      <c r="L956" s="15" t="b">
        <v>0</v>
      </c>
    </row>
    <row r="957" ht="15.75" customHeight="1">
      <c r="G957" s="14"/>
      <c r="J957" s="16"/>
      <c r="K957" s="14"/>
      <c r="L957" s="15" t="b">
        <v>0</v>
      </c>
    </row>
    <row r="958" ht="15.75" customHeight="1">
      <c r="G958" s="14"/>
      <c r="J958" s="16"/>
      <c r="K958" s="14"/>
      <c r="L958" s="15" t="b">
        <v>0</v>
      </c>
    </row>
    <row r="959" ht="15.75" customHeight="1">
      <c r="G959" s="14"/>
      <c r="J959" s="16"/>
      <c r="K959" s="14"/>
      <c r="L959" s="15" t="b">
        <v>0</v>
      </c>
    </row>
    <row r="960" ht="15.75" customHeight="1">
      <c r="G960" s="14"/>
      <c r="J960" s="16"/>
      <c r="K960" s="14"/>
      <c r="L960" s="15" t="b">
        <v>0</v>
      </c>
    </row>
    <row r="961" ht="15.75" customHeight="1">
      <c r="G961" s="14"/>
      <c r="J961" s="16"/>
      <c r="K961" s="14"/>
      <c r="L961" s="15" t="b">
        <v>0</v>
      </c>
    </row>
    <row r="962" ht="15.75" customHeight="1">
      <c r="G962" s="14"/>
      <c r="J962" s="16"/>
      <c r="K962" s="14"/>
      <c r="L962" s="15" t="b">
        <v>0</v>
      </c>
    </row>
    <row r="963" ht="15.75" customHeight="1">
      <c r="G963" s="14"/>
      <c r="J963" s="16"/>
      <c r="K963" s="14"/>
      <c r="L963" s="15" t="b">
        <v>0</v>
      </c>
    </row>
    <row r="964" ht="15.75" customHeight="1">
      <c r="G964" s="14"/>
      <c r="J964" s="16"/>
      <c r="K964" s="14"/>
      <c r="L964" s="15" t="b">
        <v>0</v>
      </c>
    </row>
    <row r="965" ht="15.75" customHeight="1">
      <c r="G965" s="14"/>
      <c r="J965" s="16"/>
      <c r="K965" s="14"/>
      <c r="L965" s="15" t="b">
        <v>0</v>
      </c>
    </row>
    <row r="966" ht="15.75" customHeight="1">
      <c r="G966" s="14"/>
      <c r="J966" s="16"/>
      <c r="K966" s="14"/>
      <c r="L966" s="15" t="b">
        <v>0</v>
      </c>
    </row>
    <row r="967" ht="15.75" customHeight="1">
      <c r="G967" s="14"/>
      <c r="J967" s="16"/>
      <c r="K967" s="14"/>
      <c r="L967" s="15" t="b">
        <v>0</v>
      </c>
    </row>
    <row r="968" ht="15.75" customHeight="1">
      <c r="G968" s="14"/>
      <c r="J968" s="16"/>
      <c r="K968" s="14"/>
      <c r="L968" s="15" t="b">
        <v>0</v>
      </c>
    </row>
    <row r="969" ht="15.75" customHeight="1">
      <c r="G969" s="14"/>
      <c r="J969" s="16"/>
      <c r="K969" s="14"/>
      <c r="L969" s="15" t="b">
        <v>0</v>
      </c>
    </row>
    <row r="970" ht="15.75" customHeight="1">
      <c r="G970" s="14"/>
      <c r="J970" s="16"/>
      <c r="K970" s="14"/>
      <c r="L970" s="15" t="b">
        <v>0</v>
      </c>
    </row>
    <row r="971" ht="15.75" customHeight="1">
      <c r="G971" s="14"/>
      <c r="J971" s="16"/>
      <c r="K971" s="14"/>
      <c r="L971" s="15" t="b">
        <v>0</v>
      </c>
    </row>
    <row r="972" ht="15.75" customHeight="1">
      <c r="G972" s="14"/>
      <c r="J972" s="16"/>
      <c r="K972" s="14"/>
      <c r="L972" s="15" t="b">
        <v>0</v>
      </c>
    </row>
    <row r="973" ht="15.75" customHeight="1">
      <c r="G973" s="14"/>
      <c r="J973" s="16"/>
      <c r="K973" s="14"/>
      <c r="L973" s="15" t="b">
        <v>0</v>
      </c>
    </row>
    <row r="974" ht="15.75" customHeight="1">
      <c r="G974" s="14"/>
      <c r="J974" s="16"/>
      <c r="K974" s="14"/>
      <c r="L974" s="15" t="b">
        <v>0</v>
      </c>
    </row>
    <row r="975" ht="15.75" customHeight="1">
      <c r="G975" s="14"/>
      <c r="J975" s="16"/>
      <c r="K975" s="14"/>
      <c r="L975" s="15" t="b">
        <v>0</v>
      </c>
    </row>
    <row r="976" ht="15.75" customHeight="1">
      <c r="G976" s="14"/>
      <c r="J976" s="16"/>
      <c r="K976" s="14"/>
      <c r="L976" s="15" t="b">
        <v>0</v>
      </c>
    </row>
    <row r="977" ht="15.75" customHeight="1">
      <c r="G977" s="14"/>
      <c r="J977" s="16"/>
      <c r="K977" s="14"/>
      <c r="L977" s="15" t="b">
        <v>0</v>
      </c>
    </row>
    <row r="978" ht="15.75" customHeight="1">
      <c r="G978" s="14"/>
      <c r="J978" s="16"/>
      <c r="K978" s="14"/>
      <c r="L978" s="15" t="b">
        <v>0</v>
      </c>
    </row>
    <row r="979" ht="15.75" customHeight="1">
      <c r="G979" s="14"/>
      <c r="J979" s="16"/>
      <c r="K979" s="14"/>
      <c r="L979" s="15" t="b">
        <v>0</v>
      </c>
    </row>
    <row r="980" ht="15.75" customHeight="1">
      <c r="G980" s="14"/>
      <c r="J980" s="16"/>
      <c r="K980" s="14"/>
      <c r="L980" s="15" t="b">
        <v>0</v>
      </c>
    </row>
    <row r="981" ht="15.75" customHeight="1">
      <c r="G981" s="14"/>
      <c r="J981" s="16"/>
      <c r="K981" s="14"/>
      <c r="L981" s="15" t="b">
        <v>0</v>
      </c>
    </row>
    <row r="982" ht="15.75" customHeight="1">
      <c r="G982" s="14"/>
      <c r="J982" s="16"/>
      <c r="K982" s="14"/>
      <c r="L982" s="15" t="b">
        <v>0</v>
      </c>
    </row>
    <row r="983" ht="15.75" customHeight="1">
      <c r="G983" s="14"/>
      <c r="J983" s="16"/>
      <c r="K983" s="14"/>
      <c r="L983" s="15" t="b">
        <v>0</v>
      </c>
    </row>
    <row r="984" ht="15.75" customHeight="1">
      <c r="G984" s="14"/>
      <c r="J984" s="16"/>
      <c r="K984" s="14"/>
      <c r="L984" s="15" t="b">
        <v>0</v>
      </c>
    </row>
    <row r="985" ht="15.75" customHeight="1">
      <c r="G985" s="14"/>
      <c r="J985" s="16"/>
      <c r="K985" s="14"/>
      <c r="L985" s="15" t="b">
        <v>0</v>
      </c>
    </row>
    <row r="986" ht="15.75" customHeight="1">
      <c r="G986" s="14"/>
      <c r="J986" s="16"/>
      <c r="K986" s="14"/>
      <c r="L986" s="15" t="b">
        <v>0</v>
      </c>
    </row>
    <row r="987" ht="15.75" customHeight="1">
      <c r="G987" s="14"/>
      <c r="J987" s="16"/>
      <c r="K987" s="14"/>
      <c r="L987" s="15" t="b">
        <v>0</v>
      </c>
    </row>
    <row r="988" ht="15.75" customHeight="1">
      <c r="G988" s="14"/>
      <c r="J988" s="16"/>
      <c r="K988" s="14"/>
      <c r="L988" s="15" t="b">
        <v>0</v>
      </c>
    </row>
    <row r="989" ht="15.75" customHeight="1">
      <c r="G989" s="14"/>
      <c r="J989" s="16"/>
      <c r="K989" s="14"/>
      <c r="L989" s="15" t="b">
        <v>0</v>
      </c>
    </row>
    <row r="990" ht="15.75" customHeight="1">
      <c r="G990" s="14"/>
      <c r="J990" s="16"/>
      <c r="K990" s="14"/>
      <c r="L990" s="15" t="b">
        <v>0</v>
      </c>
    </row>
    <row r="991" ht="15.75" customHeight="1">
      <c r="G991" s="14"/>
      <c r="J991" s="16"/>
      <c r="K991" s="14"/>
      <c r="L991" s="15" t="b">
        <v>0</v>
      </c>
    </row>
    <row r="992" ht="15.75" customHeight="1">
      <c r="G992" s="14"/>
      <c r="J992" s="16"/>
      <c r="K992" s="14"/>
      <c r="L992" s="15" t="b">
        <v>0</v>
      </c>
    </row>
    <row r="993" ht="15.75" customHeight="1">
      <c r="G993" s="14"/>
      <c r="J993" s="16"/>
      <c r="K993" s="14"/>
      <c r="L993" s="15" t="b">
        <v>0</v>
      </c>
    </row>
    <row r="994" ht="15.75" customHeight="1">
      <c r="G994" s="14"/>
      <c r="J994" s="16"/>
      <c r="K994" s="14"/>
      <c r="L994" s="15" t="b">
        <v>0</v>
      </c>
    </row>
    <row r="995" ht="15.75" customHeight="1">
      <c r="G995" s="14"/>
      <c r="J995" s="16"/>
      <c r="K995" s="14"/>
      <c r="L995" s="15" t="b">
        <v>0</v>
      </c>
    </row>
    <row r="996" ht="15.75" customHeight="1">
      <c r="G996" s="14"/>
      <c r="J996" s="16"/>
      <c r="K996" s="14"/>
      <c r="L996" s="15" t="b">
        <v>0</v>
      </c>
    </row>
    <row r="997" ht="15.75" customHeight="1">
      <c r="G997" s="14"/>
      <c r="J997" s="16"/>
      <c r="K997" s="14"/>
      <c r="L997" s="15" t="b">
        <v>0</v>
      </c>
    </row>
    <row r="998" ht="15.75" customHeight="1">
      <c r="G998" s="14"/>
      <c r="J998" s="16"/>
      <c r="K998" s="14"/>
      <c r="L998" s="15" t="b">
        <v>0</v>
      </c>
    </row>
    <row r="999" ht="15.75" customHeight="1">
      <c r="G999" s="14"/>
      <c r="J999" s="16"/>
      <c r="K999" s="14"/>
      <c r="L999" s="15" t="b">
        <v>0</v>
      </c>
    </row>
    <row r="1000" ht="15.75" customHeight="1">
      <c r="G1000" s="14"/>
      <c r="J1000" s="16"/>
      <c r="K1000" s="14"/>
      <c r="L1000" s="15" t="b">
        <v>0</v>
      </c>
    </row>
    <row r="1001" ht="15.75" customHeight="1">
      <c r="G1001" s="14"/>
      <c r="J1001" s="16"/>
      <c r="K1001" s="14"/>
      <c r="L1001" s="15" t="b">
        <v>0</v>
      </c>
    </row>
    <row r="1002" ht="15.75" customHeight="1">
      <c r="G1002" s="14"/>
      <c r="J1002" s="16"/>
      <c r="K1002" s="14"/>
      <c r="L1002" s="15" t="b">
        <v>0</v>
      </c>
    </row>
    <row r="1003" ht="15.75" customHeight="1">
      <c r="G1003" s="14"/>
      <c r="J1003" s="16"/>
      <c r="K1003" s="14"/>
      <c r="L1003" s="15" t="b">
        <v>0</v>
      </c>
    </row>
    <row r="1004" ht="15.75" customHeight="1">
      <c r="G1004" s="14"/>
      <c r="J1004" s="16"/>
      <c r="K1004" s="14"/>
      <c r="L1004" s="15" t="b">
        <v>0</v>
      </c>
    </row>
    <row r="1005" ht="15.75" customHeight="1">
      <c r="G1005" s="14"/>
      <c r="J1005" s="16"/>
      <c r="K1005" s="14"/>
      <c r="L1005" s="15" t="b">
        <v>0</v>
      </c>
    </row>
    <row r="1006" ht="15.75" customHeight="1">
      <c r="G1006" s="14"/>
      <c r="J1006" s="16"/>
      <c r="K1006" s="14"/>
      <c r="L1006" s="15" t="b">
        <v>0</v>
      </c>
    </row>
    <row r="1007" ht="15.75" customHeight="1">
      <c r="G1007" s="14"/>
      <c r="J1007" s="16"/>
      <c r="K1007" s="14"/>
      <c r="L1007" s="15" t="b">
        <v>0</v>
      </c>
    </row>
    <row r="1008" ht="15.75" customHeight="1">
      <c r="G1008" s="14"/>
      <c r="J1008" s="16"/>
      <c r="K1008" s="14"/>
      <c r="L1008" s="15" t="b">
        <v>0</v>
      </c>
    </row>
    <row r="1009" ht="15.75" customHeight="1">
      <c r="G1009" s="14"/>
      <c r="J1009" s="16"/>
      <c r="K1009" s="14"/>
      <c r="L1009" s="15" t="b">
        <v>0</v>
      </c>
    </row>
    <row r="1010" ht="15.75" customHeight="1">
      <c r="G1010" s="14"/>
      <c r="J1010" s="16"/>
      <c r="K1010" s="14"/>
      <c r="L1010" s="15" t="b">
        <v>0</v>
      </c>
    </row>
    <row r="1011" ht="15.75" customHeight="1">
      <c r="G1011" s="14"/>
      <c r="J1011" s="16"/>
      <c r="K1011" s="14"/>
      <c r="L1011" s="15" t="b">
        <v>0</v>
      </c>
    </row>
    <row r="1012" ht="15.75" customHeight="1">
      <c r="G1012" s="14"/>
      <c r="J1012" s="16"/>
      <c r="K1012" s="14"/>
      <c r="L1012" s="15" t="b">
        <v>0</v>
      </c>
    </row>
    <row r="1013" ht="15.75" customHeight="1">
      <c r="G1013" s="14"/>
      <c r="J1013" s="16"/>
      <c r="K1013" s="14"/>
      <c r="L1013" s="15" t="b">
        <v>0</v>
      </c>
    </row>
    <row r="1014" ht="15.75" customHeight="1">
      <c r="G1014" s="14"/>
      <c r="J1014" s="16"/>
      <c r="K1014" s="14"/>
      <c r="L1014" s="15" t="b">
        <v>0</v>
      </c>
    </row>
    <row r="1015" ht="15.75" customHeight="1">
      <c r="G1015" s="14"/>
      <c r="J1015" s="16"/>
      <c r="K1015" s="14"/>
      <c r="L1015" s="15" t="b">
        <v>0</v>
      </c>
    </row>
    <row r="1016" ht="15.75" customHeight="1">
      <c r="G1016" s="14"/>
      <c r="J1016" s="16"/>
      <c r="K1016" s="14"/>
      <c r="L1016" s="15" t="b">
        <v>0</v>
      </c>
    </row>
    <row r="1017" ht="15.75" customHeight="1">
      <c r="G1017" s="14"/>
      <c r="J1017" s="16"/>
      <c r="K1017" s="14"/>
      <c r="L1017" s="15" t="b">
        <v>0</v>
      </c>
    </row>
    <row r="1018" ht="15.75" customHeight="1">
      <c r="G1018" s="14"/>
      <c r="J1018" s="16"/>
      <c r="K1018" s="14"/>
      <c r="L1018" s="15" t="b">
        <v>0</v>
      </c>
    </row>
    <row r="1019" ht="15.75" customHeight="1">
      <c r="G1019" s="14"/>
      <c r="J1019" s="16"/>
      <c r="K1019" s="14"/>
      <c r="L1019" s="15" t="b">
        <v>0</v>
      </c>
    </row>
    <row r="1020" ht="15.75" customHeight="1">
      <c r="G1020" s="14"/>
      <c r="J1020" s="16"/>
      <c r="K1020" s="14"/>
      <c r="L1020" s="15" t="b">
        <v>0</v>
      </c>
    </row>
    <row r="1021" ht="15.75" customHeight="1">
      <c r="G1021" s="14"/>
      <c r="J1021" s="16"/>
      <c r="K1021" s="14"/>
      <c r="L1021" s="15" t="b">
        <v>0</v>
      </c>
    </row>
    <row r="1022" ht="15.75" customHeight="1">
      <c r="G1022" s="14"/>
      <c r="J1022" s="16"/>
      <c r="K1022" s="14"/>
      <c r="L1022" s="15" t="b">
        <v>0</v>
      </c>
    </row>
    <row r="1023" ht="15.75" customHeight="1">
      <c r="G1023" s="14"/>
      <c r="J1023" s="16"/>
      <c r="K1023" s="14"/>
      <c r="L1023" s="15" t="b">
        <v>0</v>
      </c>
    </row>
    <row r="1024" ht="15.75" customHeight="1">
      <c r="G1024" s="14"/>
      <c r="J1024" s="16"/>
      <c r="K1024" s="14"/>
      <c r="L1024" s="15" t="b">
        <v>0</v>
      </c>
    </row>
    <row r="1025" ht="15.75" customHeight="1">
      <c r="G1025" s="14"/>
      <c r="J1025" s="16"/>
      <c r="K1025" s="14"/>
      <c r="L1025" s="15" t="b">
        <v>0</v>
      </c>
    </row>
    <row r="1026" ht="15.75" customHeight="1">
      <c r="G1026" s="14"/>
      <c r="J1026" s="16"/>
      <c r="K1026" s="14"/>
      <c r="L1026" s="15" t="b">
        <v>0</v>
      </c>
    </row>
    <row r="1027" ht="15.75" customHeight="1">
      <c r="G1027" s="14"/>
      <c r="J1027" s="16"/>
      <c r="K1027" s="14"/>
      <c r="L1027" s="15" t="b">
        <v>0</v>
      </c>
    </row>
    <row r="1028" ht="15.75" customHeight="1">
      <c r="G1028" s="14"/>
      <c r="J1028" s="16"/>
      <c r="K1028" s="14"/>
      <c r="L1028" s="15" t="b">
        <v>0</v>
      </c>
    </row>
    <row r="1029" ht="15.75" customHeight="1">
      <c r="G1029" s="14"/>
      <c r="J1029" s="16"/>
      <c r="K1029" s="14"/>
      <c r="L1029" s="15" t="b">
        <v>0</v>
      </c>
    </row>
    <row r="1030" ht="15.75" customHeight="1">
      <c r="G1030" s="14"/>
      <c r="J1030" s="16"/>
      <c r="K1030" s="14"/>
      <c r="L1030" s="15" t="b">
        <v>0</v>
      </c>
    </row>
    <row r="1031" ht="15.75" customHeight="1">
      <c r="G1031" s="14"/>
      <c r="J1031" s="16"/>
      <c r="K1031" s="14"/>
      <c r="L1031" s="15" t="b">
        <v>0</v>
      </c>
    </row>
    <row r="1032" ht="15.75" customHeight="1">
      <c r="G1032" s="14"/>
      <c r="J1032" s="16"/>
      <c r="K1032" s="14"/>
      <c r="L1032" s="15" t="b">
        <v>0</v>
      </c>
    </row>
    <row r="1033" ht="15.75" customHeight="1">
      <c r="G1033" s="14"/>
      <c r="J1033" s="16"/>
      <c r="K1033" s="14"/>
      <c r="L1033" s="15" t="b">
        <v>0</v>
      </c>
    </row>
    <row r="1034" ht="15.75" customHeight="1">
      <c r="G1034" s="14"/>
      <c r="J1034" s="16"/>
      <c r="K1034" s="14"/>
      <c r="L1034" s="15" t="b">
        <v>0</v>
      </c>
    </row>
    <row r="1035" ht="15.75" customHeight="1">
      <c r="G1035" s="14"/>
      <c r="J1035" s="16"/>
      <c r="K1035" s="14"/>
      <c r="L1035" s="15" t="b">
        <v>0</v>
      </c>
    </row>
    <row r="1036" ht="15.75" customHeight="1">
      <c r="G1036" s="14"/>
      <c r="J1036" s="16"/>
      <c r="K1036" s="14"/>
      <c r="L1036" s="15" t="b">
        <v>0</v>
      </c>
    </row>
    <row r="1037" ht="15.75" customHeight="1">
      <c r="G1037" s="14"/>
      <c r="J1037" s="16"/>
      <c r="K1037" s="14"/>
      <c r="L1037" s="15" t="b">
        <v>0</v>
      </c>
    </row>
    <row r="1038" ht="15.75" customHeight="1">
      <c r="G1038" s="14"/>
      <c r="J1038" s="16"/>
      <c r="K1038" s="14"/>
      <c r="L1038" s="15" t="b">
        <v>0</v>
      </c>
    </row>
    <row r="1039" ht="15.75" customHeight="1">
      <c r="G1039" s="14"/>
      <c r="J1039" s="16"/>
      <c r="K1039" s="14"/>
      <c r="L1039" s="15" t="b">
        <v>0</v>
      </c>
    </row>
    <row r="1040" ht="15.75" customHeight="1">
      <c r="G1040" s="14"/>
      <c r="J1040" s="16"/>
      <c r="K1040" s="14"/>
      <c r="L1040" s="15" t="b">
        <v>0</v>
      </c>
    </row>
    <row r="1041" ht="15.75" customHeight="1">
      <c r="G1041" s="14"/>
      <c r="J1041" s="16"/>
      <c r="K1041" s="14"/>
      <c r="L1041" s="15" t="b">
        <v>0</v>
      </c>
    </row>
    <row r="1042" ht="15.75" customHeight="1">
      <c r="G1042" s="14"/>
      <c r="J1042" s="16"/>
      <c r="K1042" s="14"/>
      <c r="L1042" s="15" t="b">
        <v>0</v>
      </c>
    </row>
    <row r="1043" ht="15.75" customHeight="1">
      <c r="G1043" s="14"/>
      <c r="J1043" s="16"/>
      <c r="K1043" s="14"/>
      <c r="L1043" s="15" t="b">
        <v>0</v>
      </c>
    </row>
    <row r="1044" ht="15.75" customHeight="1">
      <c r="G1044" s="14"/>
      <c r="J1044" s="16"/>
      <c r="K1044" s="14"/>
      <c r="L1044" s="15" t="b">
        <v>0</v>
      </c>
    </row>
    <row r="1045" ht="15.75" customHeight="1">
      <c r="G1045" s="14"/>
      <c r="J1045" s="16"/>
      <c r="K1045" s="14"/>
      <c r="L1045" s="15" t="b">
        <v>0</v>
      </c>
    </row>
    <row r="1046" ht="15.75" customHeight="1">
      <c r="G1046" s="14"/>
      <c r="J1046" s="16"/>
      <c r="K1046" s="14"/>
      <c r="L1046" s="15" t="b">
        <v>0</v>
      </c>
    </row>
    <row r="1047" ht="15.75" customHeight="1">
      <c r="G1047" s="14"/>
      <c r="J1047" s="16"/>
      <c r="K1047" s="14"/>
      <c r="L1047" s="15" t="b">
        <v>0</v>
      </c>
    </row>
    <row r="1048" ht="15.75" customHeight="1">
      <c r="G1048" s="14"/>
      <c r="J1048" s="16"/>
      <c r="K1048" s="14"/>
      <c r="L1048" s="15" t="b">
        <v>0</v>
      </c>
    </row>
    <row r="1049" ht="15.75" customHeight="1">
      <c r="G1049" s="14"/>
      <c r="J1049" s="16"/>
      <c r="K1049" s="14"/>
      <c r="L1049" s="15" t="b">
        <v>0</v>
      </c>
    </row>
    <row r="1050" ht="15.75" customHeight="1">
      <c r="G1050" s="14"/>
      <c r="J1050" s="16"/>
      <c r="K1050" s="14"/>
      <c r="L1050" s="15" t="b">
        <v>0</v>
      </c>
    </row>
    <row r="1051" ht="15.75" customHeight="1">
      <c r="G1051" s="14"/>
      <c r="J1051" s="16"/>
      <c r="K1051" s="14"/>
      <c r="L1051" s="15" t="b">
        <v>0</v>
      </c>
    </row>
    <row r="1052" ht="15.75" customHeight="1">
      <c r="G1052" s="14"/>
      <c r="J1052" s="16"/>
      <c r="K1052" s="14"/>
      <c r="L1052" s="15" t="b">
        <v>0</v>
      </c>
    </row>
    <row r="1053" ht="15.75" customHeight="1">
      <c r="G1053" s="14"/>
      <c r="J1053" s="16"/>
      <c r="K1053" s="14"/>
      <c r="L1053" s="15" t="b">
        <v>0</v>
      </c>
    </row>
    <row r="1054" ht="15.75" customHeight="1">
      <c r="G1054" s="14"/>
      <c r="J1054" s="16"/>
      <c r="K1054" s="14"/>
      <c r="L1054" s="15" t="b">
        <v>0</v>
      </c>
    </row>
    <row r="1055" ht="15.75" customHeight="1">
      <c r="G1055" s="14"/>
      <c r="J1055" s="16"/>
      <c r="K1055" s="14"/>
      <c r="L1055" s="15" t="b">
        <v>0</v>
      </c>
    </row>
    <row r="1056" ht="15.75" customHeight="1">
      <c r="G1056" s="14"/>
      <c r="J1056" s="16"/>
      <c r="K1056" s="14"/>
      <c r="L1056" s="15" t="b">
        <v>0</v>
      </c>
    </row>
    <row r="1057" ht="15.75" customHeight="1">
      <c r="G1057" s="14"/>
      <c r="J1057" s="16"/>
      <c r="K1057" s="14"/>
      <c r="L1057" s="15" t="b">
        <v>0</v>
      </c>
    </row>
    <row r="1058" ht="15.75" customHeight="1">
      <c r="G1058" s="14"/>
      <c r="J1058" s="16"/>
      <c r="K1058" s="14"/>
      <c r="L1058" s="15" t="b">
        <v>0</v>
      </c>
    </row>
    <row r="1059" ht="15.75" customHeight="1">
      <c r="G1059" s="14"/>
      <c r="J1059" s="16"/>
      <c r="K1059" s="14"/>
      <c r="L1059" s="15" t="b">
        <v>0</v>
      </c>
    </row>
    <row r="1060" ht="15.75" customHeight="1">
      <c r="G1060" s="14"/>
      <c r="J1060" s="16"/>
      <c r="K1060" s="14"/>
      <c r="L1060" s="15" t="b">
        <v>0</v>
      </c>
    </row>
    <row r="1061" ht="15.75" customHeight="1">
      <c r="G1061" s="14"/>
      <c r="J1061" s="16"/>
      <c r="K1061" s="14"/>
      <c r="L1061" s="15" t="b">
        <v>0</v>
      </c>
    </row>
    <row r="1062" ht="15.75" customHeight="1">
      <c r="G1062" s="14"/>
      <c r="J1062" s="16"/>
      <c r="K1062" s="14"/>
      <c r="L1062" s="15" t="b">
        <v>0</v>
      </c>
    </row>
    <row r="1063" ht="15.75" customHeight="1">
      <c r="G1063" s="14"/>
      <c r="J1063" s="16"/>
      <c r="K1063" s="14"/>
      <c r="L1063" s="15" t="b">
        <v>0</v>
      </c>
    </row>
    <row r="1064" ht="15.75" customHeight="1">
      <c r="G1064" s="14"/>
      <c r="J1064" s="16"/>
      <c r="K1064" s="14"/>
      <c r="L1064" s="15" t="b">
        <v>0</v>
      </c>
    </row>
    <row r="1065" ht="15.75" customHeight="1">
      <c r="G1065" s="14"/>
      <c r="J1065" s="16"/>
      <c r="K1065" s="14"/>
      <c r="L1065" s="15" t="b">
        <v>0</v>
      </c>
    </row>
    <row r="1066" ht="15.75" customHeight="1">
      <c r="G1066" s="14"/>
      <c r="J1066" s="16"/>
      <c r="K1066" s="14"/>
      <c r="L1066" s="15" t="b">
        <v>0</v>
      </c>
    </row>
    <row r="1067" ht="15.75" customHeight="1">
      <c r="G1067" s="14"/>
      <c r="J1067" s="16"/>
      <c r="K1067" s="14"/>
      <c r="L1067" s="15" t="b">
        <v>0</v>
      </c>
    </row>
    <row r="1068" ht="15.75" customHeight="1">
      <c r="G1068" s="14"/>
      <c r="J1068" s="16"/>
      <c r="K1068" s="14"/>
      <c r="L1068" s="15" t="b">
        <v>0</v>
      </c>
    </row>
    <row r="1069" ht="15.75" customHeight="1">
      <c r="G1069" s="14"/>
      <c r="J1069" s="16"/>
      <c r="K1069" s="14"/>
      <c r="L1069" s="15" t="b">
        <v>0</v>
      </c>
    </row>
    <row r="1070" ht="15.75" customHeight="1">
      <c r="G1070" s="14"/>
      <c r="J1070" s="16"/>
      <c r="K1070" s="14"/>
      <c r="L1070" s="15" t="b">
        <v>0</v>
      </c>
    </row>
    <row r="1071" ht="15.75" customHeight="1">
      <c r="G1071" s="14"/>
      <c r="J1071" s="16"/>
      <c r="K1071" s="14"/>
      <c r="L1071" s="15" t="b">
        <v>0</v>
      </c>
    </row>
    <row r="1072" ht="15.75" customHeight="1">
      <c r="G1072" s="14"/>
      <c r="J1072" s="16"/>
      <c r="K1072" s="14"/>
      <c r="L1072" s="15" t="b">
        <v>0</v>
      </c>
    </row>
    <row r="1073" ht="15.75" customHeight="1">
      <c r="G1073" s="14"/>
      <c r="J1073" s="16"/>
      <c r="K1073" s="14"/>
      <c r="L1073" s="15" t="b">
        <v>0</v>
      </c>
    </row>
    <row r="1074" ht="15.75" customHeight="1">
      <c r="G1074" s="14"/>
      <c r="J1074" s="16"/>
      <c r="K1074" s="14"/>
      <c r="L1074" s="15" t="b">
        <v>0</v>
      </c>
    </row>
    <row r="1075" ht="15.75" customHeight="1">
      <c r="G1075" s="14"/>
      <c r="J1075" s="16"/>
      <c r="K1075" s="14"/>
      <c r="L1075" s="15" t="b">
        <v>0</v>
      </c>
    </row>
    <row r="1076" ht="15.75" customHeight="1">
      <c r="G1076" s="14"/>
      <c r="J1076" s="16"/>
      <c r="K1076" s="14"/>
      <c r="L1076" s="15" t="b">
        <v>0</v>
      </c>
    </row>
  </sheetData>
  <dataValidations>
    <dataValidation type="list" allowBlank="1" showErrorMessage="1" sqref="H62">
      <formula1>"Restaurant Depot,US Foods,Safeway,Amazon,Restaurant Direct,Webstraunt Store,E-Fish"</formula1>
    </dataValidation>
    <dataValidation type="list" allowBlank="1" showErrorMessage="1" sqref="E2:E447">
      <formula1>"pound,ounce,kilogram,liter,each,Fl oz,#10 can,Gallon"</formula1>
    </dataValidation>
    <dataValidation type="list" allowBlank="1" showErrorMessage="1" sqref="H2:H61 H63:H447">
      <formula1>"Restaurant Depot,US Foods,Safeway,Amazon,Restaurant Direct,Webstraunt Store,e-fish,Giannis Foods,Base Item"</formula1>
    </dataValidation>
    <dataValidation type="list" allowBlank="1" showErrorMessage="1" sqref="B2:B447">
      <formula1>"Meat &amp; Poultry,Seafood,Produce,Dairy &amp; Eggs,Grains &amp; Pasta,Baking &amp; Dry Goods,Condiments &amp; Sauces,,Beverages,Frozen,Canned,Other,spices,Bread &amp; Pastries,Base Recipe"</formula1>
    </dataValidation>
    <dataValidation type="list" allowBlank="1" showErrorMessage="1" sqref="D2:D411">
      <formula1>"Case,Weight,Volume,Each"</formula1>
    </dataValidation>
  </dataValidations>
  <printOptions/>
  <pageMargins bottom="0.75" footer="0.0" header="0.0" left="0.7" right="0.7" top="0.75"/>
  <pageSetup orientation="landscape"/>
  <drawing r:id="rId1"/>
</worksheet>
</file>